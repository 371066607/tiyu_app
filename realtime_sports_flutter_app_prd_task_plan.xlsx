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37ea8d6e546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42a2b37387e4697"/>
    <x:sheet xmlns:r="http://schemas.openxmlformats.org/officeDocument/2006/relationships" name="PRD计划表" sheetId="2" r:id="Rf1280658f3444da1"/>
    <x:sheet xmlns:r="http://schemas.openxmlformats.org/officeDocument/2006/relationships" name="技术Task表" sheetId="3" r:id="R14dfaa832b524b56"/>
    <x:sheet xmlns:r="http://schemas.openxmlformats.org/officeDocument/2006/relationships" name="数据模型&amp;接口" sheetId="4" r:id="R00e4143b76994c7e"/>
    <x:sheet xmlns:r="http://schemas.openxmlformats.org/officeDocument/2006/relationships" name="风险&amp;上线验收" sheetId="5" r:id="Rcfe91e0f06e44e43"/>
    <x:sheet xmlns:r="http://schemas.openxmlformats.org/officeDocument/2006/relationships" name="枚举" sheetId="6" r:id="R92f75bc5eb8e4b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"/>
  </x:numFmts>
  <x:fonts count="8">
    <x:font>
      <x:sz val="11"/>
      <x:name val="Carlito"/>
    </x:font>
    <x:font>
      <x:b/>
      <x:sz val="11"/>
      <x:color rgb="FFFFFF"/>
      <x:name val="Carlito"/>
    </x:font>
    <x:font>
      <x:sz val="10"/>
      <x:color rgb="0F172A"/>
      <x:name val="Carlito"/>
    </x:font>
    <x:font>
      <x:b/>
      <x:sz val="16"/>
      <x:color rgb="FFFFFF"/>
      <x:name val="Carlito"/>
    </x:font>
    <x:font>
      <x:sz val="10"/>
      <x:color rgb="475569"/>
      <x:name val="Carlito"/>
    </x:font>
    <x:font>
      <x:b/>
      <x:sz val="11"/>
      <x:color rgb="1E3A8A"/>
      <x:name val="Carlito"/>
    </x:font>
    <x:font>
      <x:b/>
      <x:sz val="12"/>
      <x:color rgb="0F172A"/>
      <x:name val="Carlito"/>
    </x:font>
    <x:font>
      <x:b/>
      <x:sz val="11"/>
      <x:color rgb="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0F172A"/>
      </x:patternFill>
    </x:fill>
    <x:fill>
      <x:patternFill patternType="solid">
        <x:fgColor rgb="EFF6FF"/>
      </x:patternFill>
    </x:fill>
    <x:fill>
      <x:patternFill patternType="solid">
        <x:fgColor rgb="F8FAFC"/>
      </x:patternFill>
    </x:fill>
    <x:fill>
      <x:patternFill patternType="solid">
        <x:fgColor rgb="DBEAFE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5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left"/>
    </x:xf>
    <x:xf numFmtId="0" fontId="5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200" fontId="6" fillId="5" borderId="0" xfId="0" applyNumberFormat="1" applyFont="1" applyFill="1" applyBorder="1" applyAlignment="1">
      <x:alignment horizontal="center" vertical="center"/>
    </x:xf>
    <x:xf numFmtId="200" fontId="6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horizont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200" fontId="6" fillId="5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left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200" fontId="6" fillId="5" borderId="1" xfId="0" applyNumberFormat="1" applyFont="1" applyFill="1" applyBorder="1" applyAlignment="1">
      <x:alignment horizontal="center" vertical="center" wrapText="1"/>
    </x:xf>
    <x:xf numFmtId="201" fontId="6" fillId="5" borderId="0" xfId="0" applyNumberFormat="1" applyFont="1" applyFill="1" applyBorder="1" applyAlignment="1">
      <x:alignment horizontal="center" vertical="center" wrapText="1"/>
    </x:xf>
    <x:xf numFmtId="201" fontId="6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1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BEAFE"/>
        </x:patternFill>
      </x:fill>
    </x:dxf>
    <x:dxf>
      <x:font>
        <x:b/>
      </x:font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ea469dbe44bef" /><Relationship Type="http://schemas.openxmlformats.org/officeDocument/2006/relationships/theme" Target="/xl/theme/theme1.xml" Id="Rb99299d89fc146ad" /><Relationship Type="http://schemas.openxmlformats.org/officeDocument/2006/relationships/sharedStrings" Target="/xl/sharedStrings.xml" Id="R1f23534fffa44a67" /><Relationship Type="http://schemas.openxmlformats.org/officeDocument/2006/relationships/worksheet" Target="/xl/worksheets/sheet1.xml" Id="R842a2b37387e4697" /><Relationship Type="http://schemas.openxmlformats.org/officeDocument/2006/relationships/worksheet" Target="/xl/worksheets/sheet2.xml" Id="Rf1280658f3444da1" /><Relationship Type="http://schemas.openxmlformats.org/officeDocument/2006/relationships/worksheet" Target="/xl/worksheets/sheet3.xml" Id="R14dfaa832b524b56" /><Relationship Type="http://schemas.openxmlformats.org/officeDocument/2006/relationships/worksheet" Target="/xl/worksheets/sheet4.xml" Id="R00e4143b76994c7e" /><Relationship Type="http://schemas.openxmlformats.org/officeDocument/2006/relationships/worksheet" Target="/xl/worksheets/sheet5.xml" Id="Rcfe91e0f06e44e43" /><Relationship Type="http://schemas.openxmlformats.org/officeDocument/2006/relationships/worksheet" Target="/xl/worksheets/sheet6.xml" Id="R92f75bc5eb8e4b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1ffa7211d44cb1" /><Relationship Type="http://schemas.openxmlformats.org/officeDocument/2006/relationships/chart" Target="/xl/drawings/charts/chart2.xml" Id="R9bd6deac14f747f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Task状态分布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'Dashboard'!$E$5:$E$10</c:f>
              <c:strCache>
                <c:ptCount val="0"/>
              </c:strCache>
            </c:strRef>
          </c:cat>
          <c:val>
            <c:numRef>
              <c:f>'Dashboard'!$F$5:$F$10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优先级未完成Task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未完成Task</c:v>
          </c:tx>
          <c:cat>
            <c:strRef>
              <c:f>'Dashboard'!$H$5:$H$7</c:f>
              <c:strCache>
                <c:ptCount val="0"/>
              </c:strCache>
            </c:strRef>
          </c:cat>
          <c:val>
            <c:numRef>
              <c:f>'Dashboard'!$I$5:$I$7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1ffa7211d44cb1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d6deac14f747f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DPlanTable" displayName="PRDPlanTable" ref="A1:O29" headerRowCount="1">
  <x:tableColumns count="15">
    <x:tableColumn id="1" name="PRD ID"/>
    <x:tableColumn id="2" name="模块"/>
    <x:tableColumn id="3" name="优先级"/>
    <x:tableColumn id="4" name="MVP范围"/>
    <x:tableColumn id="5" name="用户故事"/>
    <x:tableColumn id="6" name="核心需求"/>
    <x:tableColumn id="7" name="关键交互/页面"/>
    <x:tableColumn id="8" name="数据/API"/>
    <x:tableColumn id="9" name="依赖"/>
    <x:tableColumn id="10" name="验收标准"/>
    <x:tableColumn id="11" name="指标/埋点"/>
    <x:tableColumn id="12" name="Codex执行提示"/>
    <x:tableColumn id="13" name="状态"/>
    <x:tableColumn id="14" name="负责人"/>
    <x:tableColumn id="15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TechTaskTable" displayName="TechTaskTable" ref="A1:Q79" headerRowCount="1">
  <x:tableColumns count="17">
    <x:tableColumn id="1" name="Task ID"/>
    <x:tableColumn id="2" name="执行序号"/>
    <x:tableColumn id="3" name="阶段"/>
    <x:tableColumn id="4" name="模块/Workstream"/>
    <x:tableColumn id="5" name="优先级"/>
    <x:tableColumn id="6" name="类型"/>
    <x:tableColumn id="7" name="任务名称"/>
    <x:tableColumn id="8" name="具体实现"/>
    <x:tableColumn id="9" name="前置依赖"/>
    <x:tableColumn id="10" name="输出物"/>
    <x:tableColumn id="11" name="验收标准"/>
    <x:tableColumn id="12" name="测试建议"/>
    <x:tableColumn id="13" name="复杂度"/>
    <x:tableColumn id="14" name="状态"/>
    <x:tableColumn id="15" name="负责人"/>
    <x:tableColumn id="16" name="Codex执行提示"/>
    <x:tableColumn id="1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DataApiTable" displayName="DataApiTable" ref="A1:G23" headerRowCount="1">
  <x:tableColumns count="7">
    <x:tableColumn id="1" name="类别"/>
    <x:tableColumn id="2" name="实体/接口/Event"/>
    <x:tableColumn id="3" name="方向"/>
    <x:tableColumn id="4" name="字段/Payload草案"/>
    <x:tableColumn id="5" name="规则/说明"/>
    <x:tableColumn id="6" name="优先级"/>
    <x:tableColumn id="7" name="验收点"/>
  </x:tableColumns>
  <x:tableStyleInfo name="TableStyleMedium2" showRowStripes="1"/>
</x:table>
</file>

<file path=xl/tables/table4.xml><?xml version="1.0" encoding="utf-8"?>
<x:table xmlns:x="http://schemas.openxmlformats.org/spreadsheetml/2006/main" id="4" name="RiskAcceptanceTable" displayName="RiskAcceptanceTable" ref="A1:H14" headerRowCount="1">
  <x:tableColumns count="8">
    <x:tableColumn id="1" name="Risk ID"/>
    <x:tableColumn id="2" name="风险/验收项"/>
    <x:tableColumn id="3" name="类型"/>
    <x:tableColumn id="4" name="级别"/>
    <x:tableColumn id="5" name="影响"/>
    <x:tableColumn id="6" name="缓解方案"/>
    <x:tableColumn id="7" name="Owner"/>
    <x:tableColumn id="8" name="状态"/>
  </x:tableColumns>
  <x:tableStyleInfo name="TableStyleMedium2" showRowStripes="1"/>
</x:table>
</file>

<file path=xl/tables/table5.xml><?xml version="1.0" encoding="utf-8"?>
<x:table xmlns:x="http://schemas.openxmlformats.org/spreadsheetml/2006/main" id="5" name="EnumsTable" displayName="EnumsTable" ref="A1:G10" headerRowCount="1">
  <x:tableColumns count="7">
    <x:tableColumn id="1" name="Status"/>
    <x:tableColumn id="2" name="Priority"/>
    <x:tableColumn id="3" name="Owner"/>
    <x:tableColumn id="4" name="Complexity"/>
    <x:tableColumn id="5" name="MVP Scope"/>
    <x:tableColumn id="6" name="Risk Level"/>
    <x:tableColumn id="7" name="Task Ty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86085c8654f49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5888b2489845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21eda271ab42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26667399d040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25538f1a9c4c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9a473976a5417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6" customHeight="1">
      <x:c r="A1" s="21" t="str">
        <x:v>实时赛事 Flutter App：PRD &amp; Codex执行计划看板</x:v>
      </x:c>
    </x:row>
    <x:row r="2" ht="30" customHeight="1">
      <x:c r="A2" s="28" t="str">
        <x:v>说明：本计划不按固定周排期，按依赖/优先级连续执行；在PRD计划表和技术Task表中更新状态后，看板会自动汇总。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</x:row>
    <x:row r="3">
      <x:c r="K3" s="54" t="str">
        <x:v>生成日期</x:v>
      </x:c>
      <x:c r="L3" s="54" t="str">
        <x:v>2026-05-11</x:v>
      </x:c>
    </x:row>
    <x:row r="4">
      <x:c r="A4" s="6" t="str">
        <x:v>指标</x:v>
      </x:c>
      <x:c r="B4" s="6" t="str">
        <x:v>值</x:v>
      </x:c>
      <x:c r="C4" s="6" t="str">
        <x:v>说明</x:v>
      </x:c>
      <x:c r="E4" s="6" t="str">
        <x:v>Task状态</x:v>
      </x:c>
      <x:c r="F4" s="6" t="str">
        <x:v>数量</x:v>
      </x:c>
      <x:c r="H4" s="6" t="str">
        <x:v>优先级</x:v>
      </x:c>
      <x:c r="I4" s="6" t="str">
        <x:v>未完成Task</x:v>
      </x:c>
    </x:row>
    <x:row r="5">
      <x:c r="A5" s="60" t="str">
        <x:v>PRD总数</x:v>
      </x:c>
      <x:c r="B5" s="66" t="n">
        <x:f>COUNTA('PRD计划表'!A2:A200)</x:f>
        <x:v>28</x:v>
      </x:c>
      <x:c r="C5" s="28" t="str">
        <x:v>需求条目数</x:v>
      </x:c>
      <x:c r="E5" s="14" t="str">
        <x:v>Not Started</x:v>
      </x:c>
      <x:c r="F5" s="14" t="n">
        <x:f>COUNTIF('技术Task表'!N2:N300,"Not Started")</x:f>
        <x:v>76</x:v>
      </x:c>
      <x:c r="H5" s="14" t="str">
        <x:v>P0</x:v>
      </x:c>
      <x:c r="I5" s="14" t="n">
        <x:f>COUNTIFS('技术Task表'!E2:E300,"P0",'技术Task表'!N2:N300,"&lt;&gt;Done")</x:f>
        <x:v>53</x:v>
      </x:c>
    </x:row>
    <x:row r="6">
      <x:c r="A6" s="60" t="str">
        <x:v>PRD Done</x:v>
      </x:c>
      <x:c r="B6" s="66" t="n">
        <x:f>COUNTIF('PRD计划表'!M2:M200,"Done")</x:f>
        <x:v>0</x:v>
      </x:c>
      <x:c r="C6" s="28" t="str">
        <x:v>已完成需求</x:v>
      </x:c>
      <x:c r="E6" s="14" t="str">
        <x:v>In Progress</x:v>
      </x:c>
      <x:c r="F6" s="14" t="n">
        <x:f>COUNTIF('技术Task表'!N2:N300,"In Progress")</x:f>
        <x:v>0</x:v>
      </x:c>
      <x:c r="H6" s="14" t="str">
        <x:v>P1</x:v>
      </x:c>
      <x:c r="I6" s="14" t="n">
        <x:f>COUNTIFS('技术Task表'!E2:E300,"P1",'技术Task表'!N2:N300,"&lt;&gt;Done")</x:f>
        <x:v>23</x:v>
      </x:c>
    </x:row>
    <x:row r="7">
      <x:c r="A7" s="60" t="str">
        <x:v>PRD完成率</x:v>
      </x:c>
      <x:c r="B7" s="62" t="n">
        <x:f>IF(B5=0,0,B6/B5)</x:f>
        <x:v>0</x:v>
      </x:c>
      <x:c r="C7" s="28" t="str">
        <x:v>Done / 总数</x:v>
      </x:c>
      <x:c r="E7" s="14" t="str">
        <x:v>Ready for Review</x:v>
      </x:c>
      <x:c r="F7" s="14" t="n">
        <x:f>COUNTIF('技术Task表'!N2:N300,"Ready for Review")</x:f>
        <x:v>0</x:v>
      </x:c>
      <x:c r="H7" s="14" t="str">
        <x:v>P2</x:v>
      </x:c>
      <x:c r="I7" s="14" t="n">
        <x:f>COUNTIFS('技术Task表'!E2:E300,"P2",'技术Task表'!N2:N300,"&lt;&gt;Done")</x:f>
        <x:v>2</x:v>
      </x:c>
    </x:row>
    <x:row r="8">
      <x:c r="A8" s="60" t="str">
        <x:v>Task总数</x:v>
      </x:c>
      <x:c r="B8" s="66" t="n">
        <x:f>COUNTA('技术Task表'!A2:A300)</x:f>
        <x:v>78</x:v>
      </x:c>
      <x:c r="C8" s="28" t="str">
        <x:v>技术任务数</x:v>
      </x:c>
      <x:c r="E8" s="14" t="str">
        <x:v>Blocked</x:v>
      </x:c>
      <x:c r="F8" s="14" t="n">
        <x:f>COUNTIF('技术Task表'!N2:N300,"Blocked")</x:f>
        <x:v>0</x:v>
      </x:c>
    </x:row>
    <x:row r="9">
      <x:c r="A9" s="60" t="str">
        <x:v>Task Done</x:v>
      </x:c>
      <x:c r="B9" s="66" t="n">
        <x:f>COUNTIF('技术Task表'!N2:N300,"Done")</x:f>
        <x:v>0</x:v>
      </x:c>
      <x:c r="C9" s="28" t="str">
        <x:v>已完成任务</x:v>
      </x:c>
      <x:c r="E9" s="14" t="str">
        <x:v>Done</x:v>
      </x:c>
      <x:c r="F9" s="14" t="n">
        <x:f>COUNTIF('技术Task表'!N2:N300,"Done")</x:f>
        <x:v>0</x:v>
      </x:c>
    </x:row>
    <x:row r="10">
      <x:c r="A10" s="60" t="str">
        <x:v>Task完成率</x:v>
      </x:c>
      <x:c r="B10" s="62" t="n">
        <x:f>IF(B8=0,0,B9/B8)</x:f>
        <x:v>0</x:v>
      </x:c>
      <x:c r="C10" s="28" t="str">
        <x:v>Done / 总数</x:v>
      </x:c>
      <x:c r="E10" s="14" t="str">
        <x:v>Deferred</x:v>
      </x:c>
      <x:c r="F10" s="14" t="n">
        <x:f>COUNTIF('技术Task表'!N2:N300,"Deferred")</x:f>
        <x:v>2</x:v>
      </x:c>
    </x:row>
    <x:row r="11">
      <x:c r="A11" s="60" t="str">
        <x:v>P0未完成Task</x:v>
      </x:c>
      <x:c r="B11" s="66" t="n">
        <x:f>COUNTIFS('技术Task表'!E2:E300,"P0",'技术Task表'!N2:N300,"&lt;&gt;Done")</x:f>
        <x:v>53</x:v>
      </x:c>
      <x:c r="C11" s="28" t="str">
        <x:v>优先处理</x:v>
      </x:c>
    </x:row>
    <x:row r="12">
      <x:c r="A12" s="60" t="str">
        <x:v>Blocked Task</x:v>
      </x:c>
      <x:c r="B12" s="66" t="n">
        <x:f>COUNTIF('技术Task表'!N2:N300,"Blocked")</x:f>
        <x:v>0</x:v>
      </x:c>
      <x:c r="C12" s="28" t="str">
        <x:v>阻塞项</x:v>
      </x:c>
      <x:c r="E12" s="6" t="str">
        <x:v>阶段</x:v>
      </x:c>
      <x:c r="F12" s="6" t="str">
        <x:v>Task数</x:v>
      </x:c>
    </x:row>
    <x:row r="13">
      <x:c r="A13" s="60" t="str">
        <x:v>Ready for Review</x:v>
      </x:c>
      <x:c r="B13" s="66" t="n">
        <x:f>COUNTIF('技术Task表'!N2:N300,"Ready for Review")</x:f>
        <x:v>0</x:v>
      </x:c>
      <x:c r="C13" s="28" t="str">
        <x:v>待验收项</x:v>
      </x:c>
      <x:c r="E13" s="14" t="str">
        <x:v>Foundation</x:v>
      </x:c>
      <x:c r="F13" s="14" t="n">
        <x:f>COUNTIF('技术Task表'!C2:C300,"Foundation")</x:f>
        <x:v>7</x:v>
      </x:c>
    </x:row>
    <x:row r="14">
      <x:c r="E14" s="14" t="str">
        <x:v>Data Layer</x:v>
      </x:c>
      <x:c r="F14" s="14" t="n">
        <x:f>COUNTIF('技术Task表'!C2:C300,"Data Layer")</x:f>
        <x:v>7</x:v>
      </x:c>
    </x:row>
    <x:row r="15">
      <x:c r="E15" s="14" t="str">
        <x:v>Realtime</x:v>
      </x:c>
      <x:c r="F15" s="14" t="n">
        <x:f>COUNTIF('技术Task表'!C2:C300,"Realtime")</x:f>
        <x:v>6</x:v>
      </x:c>
    </x:row>
    <x:row r="16">
      <x:c r="A16" s="54" t="str">
        <x:v>Codex连续执行建议</x:v>
      </x:c>
      <x:c r="B16" s="54"/>
      <x:c r="C16" s="54"/>
      <x:c r="E16" s="14" t="str">
        <x:v>UI Pages</x:v>
      </x:c>
      <x:c r="F16" s="14" t="n">
        <x:f>COUNTIF('技术Task表'!C2:C300,"UI Pages")</x:f>
        <x:v>15</x:v>
      </x:c>
    </x:row>
    <x:row r="17" ht="28" customHeight="1">
      <x:c r="A17" s="14" t="str">
        <x:v>1. 先完成所有 P0 Foundation + Data Layer，确保 Mock 环境能跑通。</x:v>
      </x:c>
      <x:c r="B17" s="14"/>
      <x:c r="C17" s="14"/>
      <x:c r="E17" s="14" t="str">
        <x:v>Feature</x:v>
      </x:c>
      <x:c r="F17" s="14" t="n">
        <x:f>COUNTIF('技术Task表'!C2:C300,"Feature")</x:f>
        <x:v>9</x:v>
      </x:c>
    </x:row>
    <x:row r="18" ht="28" customHeight="1">
      <x:c r="A18" s="14" t="str">
        <x:v>2. 再接 Realtime：WS 连接、心跳重连、事件去重、Provider 合并。</x:v>
      </x:c>
      <x:c r="B18" s="14"/>
      <x:c r="C18" s="14"/>
      <x:c r="E18" s="14" t="str">
        <x:v>Notification</x:v>
      </x:c>
      <x:c r="F18" s="14" t="n">
        <x:f>COUNTIF('技术Task表'!C2:C300,"Notification")</x:f>
        <x:v>5</x:v>
      </x:c>
    </x:row>
    <x:row r="19" ht="28" customHeight="1">
      <x:c r="A19" s="14" t="str">
        <x:v>3. UI 按：首页 -&gt; 详情 -&gt; 关注 -&gt; 设置/通知 的顺序推进。</x:v>
      </x:c>
      <x:c r="B19" s="14"/>
      <x:c r="C19" s="14"/>
      <x:c r="E19" s="14" t="str">
        <x:v>Quality</x:v>
      </x:c>
      <x:c r="F19" s="14" t="n">
        <x:f>COUNTIF('技术Task表'!C2:C300,"Quality")</x:f>
        <x:v>3</x:v>
      </x:c>
    </x:row>
    <x:row r="20" ht="28" customHeight="1">
      <x:c r="A20" s="14" t="str">
        <x:v>4. 每完成一个模块立刻补单元/Provider/Widget测试，避免最后集中还债。</x:v>
      </x:c>
      <x:c r="B20" s="14"/>
      <x:c r="C20" s="14"/>
      <x:c r="E20" s="14" t="str">
        <x:v>Testing</x:v>
      </x:c>
      <x:c r="F20" s="14" t="n">
        <x:f>COUNTIF('技术Task表'!C2:C300,"Testing")</x:f>
        <x:v>5</x:v>
      </x:c>
    </x:row>
    <x:row r="21" ht="28" customHeight="1">
      <x:c r="A21" s="14" t="str">
        <x:v>5. Blocked 项不要停住主线，先切换到同阶段可并行任务。</x:v>
      </x:c>
      <x:c r="B21" s="14"/>
      <x:c r="C21" s="14"/>
      <x:c r="E21" s="14" t="str">
        <x:v>DevOps</x:v>
      </x:c>
      <x:c r="F21" s="14" t="n">
        <x:f>COUNTIF('技术Task表'!C2:C300,"DevOps")</x:f>
        <x:v>6</x:v>
      </x:c>
    </x:row>
    <x:row r="22">
      <x:c r="E22" s="14" t="str">
        <x:v>QA/Release</x:v>
      </x:c>
      <x:c r="F22" s="14" t="n">
        <x:f>COUNTIF('技术Task表'!C2:C300,"QA/Release")</x:f>
        <x:v>4</x:v>
      </x:c>
    </x:row>
  </x:sheetData>
  <x:mergeCells>
    <x:mergeCell ref="A1:L1"/>
    <x:mergeCell ref="A2:L2"/>
    <x:mergeCell ref="A16:C16"/>
    <x:mergeCell ref="A17:C17"/>
    <x:mergeCell ref="A18:C18"/>
    <x:mergeCell ref="A19:C19"/>
    <x:mergeCell ref="A20:C20"/>
    <x:mergeCell ref="A21:C21"/>
  </x:mergeCells>
  <x:pageMargins left="0.7" right="0.7" top="0.75" bottom="0.75" header="0.3" footer="0.3"/>
  <x:drawing xmlns:r="http://schemas.openxmlformats.org/officeDocument/2006/relationships" r:id="R186085c8654f4986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10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  <x:col min="10" max="10" width="36" hidden="0" customWidth="1"/>
    <x:col min="11" max="11" width="36" hidden="0" customWidth="1"/>
    <x:col min="12" max="12" width="36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8" customHeight="1">
      <x:c r="A1" s="6" t="str">
        <x:v>PRD ID</x:v>
      </x:c>
      <x:c r="B1" s="6" t="str">
        <x:v>模块</x:v>
      </x:c>
      <x:c r="C1" s="6" t="str">
        <x:v>优先级</x:v>
      </x:c>
      <x:c r="D1" s="6" t="str">
        <x:v>MVP范围</x:v>
      </x:c>
      <x:c r="E1" s="6" t="str">
        <x:v>用户故事</x:v>
      </x:c>
      <x:c r="F1" s="6" t="str">
        <x:v>核心需求</x:v>
      </x:c>
      <x:c r="G1" s="6" t="str">
        <x:v>关键交互/页面</x:v>
      </x:c>
      <x:c r="H1" s="6" t="str">
        <x:v>数据/API</x:v>
      </x:c>
      <x:c r="I1" s="6" t="str">
        <x:v>依赖</x:v>
      </x:c>
      <x:c r="J1" s="6" t="str">
        <x:v>验收标准</x:v>
      </x:c>
      <x:c r="K1" s="6" t="str">
        <x:v>指标/埋点</x:v>
      </x:c>
      <x:c r="L1" s="6" t="str">
        <x:v>Codex执行提示</x:v>
      </x:c>
      <x:c r="M1" s="6" t="str">
        <x:v>状态</x:v>
      </x:c>
      <x:c r="N1" s="6" t="str">
        <x:v>负责人</x:v>
      </x:c>
      <x:c r="O1" s="6" t="str">
        <x:v>备注</x:v>
      </x:c>
    </x:row>
    <x:row r="2" ht="54" customHeight="1">
      <x:c r="A2" s="14" t="str">
        <x:v>PRD-001</x:v>
      </x:c>
      <x:c r="B2" s="14" t="str">
        <x:v>产品定位与MVP边界</x:v>
      </x:c>
      <x:c r="C2" s="14" t="str">
        <x:v>P0</x:v>
      </x:c>
      <x:c r="D2" s="14" t="str">
        <x:v>MVP</x:v>
      </x:c>
      <x:c r="E2" s="14" t="str">
        <x:v>作为用户，我希望快速知道今天有哪些重要比赛正在发生。</x:v>
      </x:c>
      <x:c r="F2" s="14" t="str">
        <x:v>MVP先覆盖足球实时比分：赛事流、比赛详情、事件时间线、关注与通知；篮球/电竞作为可插拔扩展。</x:v>
      </x:c>
      <x:c r="G2" s="14" t="str">
        <x:v>启动页、首页、赛事列表、比赛详情、关注、设置。</x:v>
      </x:c>
      <x:c r="H2" s="14" t="str">
        <x:v>league、fixture、match、team、event、standing、favorite。</x:v>
      </x:c>
      <x:c r="I2" s="14" t="str">
        <x:v>确认数据源字段、状态机、UI信息架构。</x:v>
      </x:c>
      <x:c r="J2" s="14" t="str">
        <x:v>打开App后3秒内可看到进行中或即将开始的比赛；MVP功能边界在README和PRD中明确。</x:v>
      </x:c>
      <x:c r="K2" s="14" t="str">
        <x:v>app_open、home_loaded、match_card_view。</x:v>
      </x:c>
      <x:c r="L2" s="14" t="str">
        <x:v>生成README的MVP范围说明，并创建Flutter模块目录。</x:v>
      </x:c>
      <x:c r="M2" s="14" t="str">
        <x:v>Not Started</x:v>
      </x:c>
      <x:c r="N2" s="14" t="str">
        <x:v>Product</x:v>
      </x:c>
      <x:c r="O2" s="14" t="str">
        <x:v>不按周排期，按依赖队列连续执行。</x:v>
      </x:c>
    </x:row>
    <x:row r="3" ht="54" customHeight="1">
      <x:c r="A3" s="14" t="str">
        <x:v>PRD-002</x:v>
      </x:c>
      <x:c r="B3" s="14" t="str">
        <x:v>首页赛事流</x:v>
      </x:c>
      <x:c r="C3" s="14" t="str">
        <x:v>P0</x:v>
      </x:c>
      <x:c r="D3" s="14" t="str">
        <x:v>MVP</x:v>
      </x:c>
      <x:c r="E3" s="14" t="str">
        <x:v>作为球迷，我希望首页能看到推荐、正在进行和即将开始的比赛。</x:v>
      </x:c>
      <x:c r="F3" s="14" t="str">
        <x:v>首页按日期和状态组织比赛卡片，优先展示live和关注球队。</x:v>
      </x:c>
      <x:c r="G3" s="14" t="str">
        <x:v>顶部分类Tab：推荐/足球/篮球/电竞；日期横滑；比赛卡片列表；空状态。</x:v>
      </x:c>
      <x:c r="H3" s="14" t="str">
        <x:v>GET /fixtures?date=&amp;sport=&amp;status=；favorite match/team。</x:v>
      </x:c>
      <x:c r="I3" s="14" t="str">
        <x:v>App导航、比赛卡片、数据源Mock。</x:v>
      </x:c>
      <x:c r="J3" s="14" t="str">
        <x:v>切换日期/分类后列表正确刷新；无比赛时展示空状态而不是白屏。</x:v>
      </x:c>
      <x:c r="K3" s="14" t="str">
        <x:v>home_tab_click、date_filter_click、fixture_list_empty。</x:v>
      </x:c>
      <x:c r="L3" s="14" t="str">
        <x:v>实现HomePage + MatchListProvider + SkeletonLoading。</x:v>
      </x:c>
      <x:c r="M3" s="14" t="str">
        <x:v>Not Started</x:v>
      </x:c>
      <x:c r="N3" s="14" t="str">
        <x:v>Flutter</x:v>
      </x:c>
      <x:c r="O3" s="14" t="str"/>
    </x:row>
    <x:row r="4" ht="54" customHeight="1">
      <x:c r="A4" s="14" t="str">
        <x:v>PRD-003</x:v>
      </x:c>
      <x:c r="B4" s="14" t="str">
        <x:v>实时比分卡片</x:v>
      </x:c>
      <x:c r="C4" s="14" t="str">
        <x:v>P0</x:v>
      </x:c>
      <x:c r="D4" s="14" t="str">
        <x:v>MVP</x:v>
      </x:c>
      <x:c r="E4" s="14" t="str">
        <x:v>作为用户，我希望不用进入详情也能看到比分、比赛时间和红黄牌等关键信息。</x:v>
      </x:c>
      <x:c r="F4" s="14" t="str">
        <x:v>卡片展示联赛、状态、比赛分钟、主客队logo/name、比分、红牌、收藏入口。</x:v>
      </x:c>
      <x:c r="G4" s="14" t="str">
        <x:v>比赛卡片、收藏星标、live脉冲标识。</x:v>
      </x:c>
      <x:c r="H4" s="14" t="str">
        <x:v>match.status、elapsed、score、cards、team.logo。</x:v>
      </x:c>
      <x:c r="I4" s="14" t="str">
        <x:v>首页赛事流、Match模型。</x:v>
      </x:c>
      <x:c r="J4" s="14" t="str">
        <x:v>进行中比赛比分变化后卡片自动更新，重复事件不会导致比分跳变。</x:v>
      </x:c>
      <x:c r="K4" s="14" t="str">
        <x:v>score_update_received、favorite_click。</x:v>
      </x:c>
      <x:c r="L4" s="14" t="str">
        <x:v>实现MatchCard组件，并接入实时状态刷新。</x:v>
      </x:c>
      <x:c r="M4" s="14" t="str">
        <x:v>Not Started</x:v>
      </x:c>
      <x:c r="N4" s="14" t="str">
        <x:v>Flutter</x:v>
      </x:c>
      <x:c r="O4" s="14" t="str"/>
    </x:row>
    <x:row r="5" ht="54" customHeight="1">
      <x:c r="A5" s="14" t="str">
        <x:v>PRD-004</x:v>
      </x:c>
      <x:c r="B5" s="14" t="str">
        <x:v>比赛详情头部</x:v>
      </x:c>
      <x:c r="C5" s="14" t="str">
        <x:v>P0</x:v>
      </x:c>
      <x:c r="D5" s="14" t="str">
        <x:v>MVP</x:v>
      </x:c>
      <x:c r="E5" s="14" t="str">
        <x:v>作为用户，我进入比赛后希望一眼看到当前比分和赛事状态。</x:v>
      </x:c>
      <x:c r="F5" s="14" t="str">
        <x:v>详情页头部展示联赛轮次、时间、球队logo、比分、状态、关注按钮、分享入口。</x:v>
      </x:c>
      <x:c r="G5" s="14" t="str">
        <x:v>MatchDetailHeader、TabBar：事件/数据/阵容/资讯。</x:v>
      </x:c>
      <x:c r="H5" s="14" t="str">
        <x:v>GET /matches/{id}，WS match:{id}。</x:v>
      </x:c>
      <x:c r="I5" s="14" t="str">
        <x:v>路由、Match模型、关注状态。</x:v>
      </x:c>
      <x:c r="J5" s="14" t="str">
        <x:v>从列表进入详情100%传入matchId；刷新后数据可恢复。</x:v>
      </x:c>
      <x:c r="K5" s="14" t="str">
        <x:v>match_detail_open、detail_refresh。</x:v>
      </x:c>
      <x:c r="L5" s="14" t="str">
        <x:v>实现MatchDetailPage header与基本tabs。</x:v>
      </x:c>
      <x:c r="M5" s="14" t="str">
        <x:v>Not Started</x:v>
      </x:c>
      <x:c r="N5" s="14" t="str">
        <x:v>Flutter</x:v>
      </x:c>
      <x:c r="O5" s="14" t="str"/>
    </x:row>
    <x:row r="6" ht="54" customHeight="1">
      <x:c r="A6" s="14" t="str">
        <x:v>PRD-005</x:v>
      </x:c>
      <x:c r="B6" s="14" t="str">
        <x:v>比赛事件时间线</x:v>
      </x:c>
      <x:c r="C6" s="14" t="str">
        <x:v>P0</x:v>
      </x:c>
      <x:c r="D6" s="14" t="str">
        <x:v>MVP</x:v>
      </x:c>
      <x:c r="E6" s="14" t="str">
        <x:v>作为用户，我想按时间线查看进球、红黄牌、换人等事件。</x:v>
      </x:c>
      <x:c r="F6" s="14" t="str">
        <x:v>按分钟排序展示事件，支持半场/全场分段，主客队左右区分。</x:v>
      </x:c>
      <x:c r="G6" s="14" t="str">
        <x:v>Timeline tab、事件icon、比分变更标识。</x:v>
      </x:c>
      <x:c r="H6" s="14" t="str">
        <x:v>event.type、minute、extraMinute、teamId、player、assist、scoreAfter。</x:v>
      </x:c>
      <x:c r="I6" s="14" t="str">
        <x:v>事件模型、实时订阅。</x:v>
      </x:c>
      <x:c r="J6" s="14" t="str">
        <x:v>新增事件实时插入正确位置；撤销/VAR修正可更新原事件。</x:v>
      </x:c>
      <x:c r="K6" s="14" t="str">
        <x:v>event_timeline_view、match_event_click。</x:v>
      </x:c>
      <x:c r="L6" s="14" t="str">
        <x:v>实现EventTimeline组件和事件去重逻辑。</x:v>
      </x:c>
      <x:c r="M6" s="14" t="str">
        <x:v>Not Started</x:v>
      </x:c>
      <x:c r="N6" s="14" t="str">
        <x:v>Flutter</x:v>
      </x:c>
      <x:c r="O6" s="14" t="str"/>
    </x:row>
    <x:row r="7" ht="54" customHeight="1">
      <x:c r="A7" s="14" t="str">
        <x:v>PRD-006</x:v>
      </x:c>
      <x:c r="B7" s="14" t="str">
        <x:v>比赛统计数据</x:v>
      </x:c>
      <x:c r="C7" s="14" t="str">
        <x:v>P0</x:v>
      </x:c>
      <x:c r="D7" s="14" t="str">
        <x:v>MVP</x:v>
      </x:c>
      <x:c r="E7" s="14" t="str">
        <x:v>作为用户，我希望看到控球率、射门、角球等赛中数据。</x:v>
      </x:c>
      <x:c r="F7" s="14" t="str">
        <x:v>详情统计Tab展示主客队关键指标，支持横向比例条。</x:v>
      </x:c>
      <x:c r="G7" s="14" t="str">
        <x:v>Stats tab、双向进度条、缺失数据占位。</x:v>
      </x:c>
      <x:c r="H7" s="14" t="str">
        <x:v>statistics[]: possession、shots、shotsOnTarget、corners、fouls、offsides。</x:v>
      </x:c>
      <x:c r="I7" s="14" t="str">
        <x:v>match detail API。</x:v>
      </x:c>
      <x:c r="J7" s="14" t="str">
        <x:v>统计字段缺失时显示“暂无数据”；有数据时排序稳定。</x:v>
      </x:c>
      <x:c r="K7" s="14" t="str">
        <x:v>stats_tab_view、stat_item_view。</x:v>
      </x:c>
      <x:c r="L7" s="14" t="str">
        <x:v>实现StatsTab和统计字段映射。</x:v>
      </x:c>
      <x:c r="M7" s="14" t="str">
        <x:v>Not Started</x:v>
      </x:c>
      <x:c r="N7" s="14" t="str">
        <x:v>Flutter</x:v>
      </x:c>
      <x:c r="O7" s="14" t="str"/>
    </x:row>
    <x:row r="8" ht="54" customHeight="1">
      <x:c r="A8" s="14" t="str">
        <x:v>PRD-007</x:v>
      </x:c>
      <x:c r="B8" s="14" t="str">
        <x:v>阵容与首发替补</x:v>
      </x:c>
      <x:c r="C8" s="14" t="str">
        <x:v>P1</x:v>
      </x:c>
      <x:c r="D8" s="14" t="str">
        <x:v>Post-MVP</x:v>
      </x:c>
      <x:c r="E8" s="14" t="str">
        <x:v>作为用户，我希望赛前/赛中看到双方首发、替补和阵型。</x:v>
      </x:c>
      <x:c r="F8" s="14" t="str">
        <x:v>展示阵容列表，后续可扩展球场站位图。</x:v>
      </x:c>
      <x:c r="G8" s="14" t="str">
        <x:v>Lineup tab、首发/替补分组、球员号码。</x:v>
      </x:c>
      <x:c r="H8" s="14" t="str">
        <x:v>GET /matches/{id}/lineups。</x:v>
      </x:c>
      <x:c r="I8" s="14" t="str">
        <x:v>详情页tabs、球员模型。</x:v>
      </x:c>
      <x:c r="J8" s="14" t="str">
        <x:v>有阵容数据时按主客队分栏；没有数据时显示未公布。</x:v>
      </x:c>
      <x:c r="K8" s="14" t="str">
        <x:v>lineup_tab_view。</x:v>
      </x:c>
      <x:c r="L8" s="14" t="str">
        <x:v>实现LineupTab列表版，球场图标记为后续增强。</x:v>
      </x:c>
      <x:c r="M8" s="14" t="str">
        <x:v>Not Started</x:v>
      </x:c>
      <x:c r="N8" s="14" t="str">
        <x:v>Flutter</x:v>
      </x:c>
      <x:c r="O8" s="14" t="str"/>
    </x:row>
    <x:row r="9" ht="54" customHeight="1">
      <x:c r="A9" s="14" t="str">
        <x:v>PRD-008</x:v>
      </x:c>
      <x:c r="B9" s="14" t="str">
        <x:v>积分榜</x:v>
      </x:c>
      <x:c r="C9" s="14" t="str">
        <x:v>P1</x:v>
      </x:c>
      <x:c r="D9" s="14" t="str">
        <x:v>MVP</x:v>
      </x:c>
      <x:c r="E9" s="14" t="str">
        <x:v>作为用户，我想查看联赛积分榜来判断球队排名。</x:v>
      </x:c>
      <x:c r="F9" s="14" t="str">
        <x:v>按联赛赛季展示排名、赛、胜平负、净胜球、积分。</x:v>
      </x:c>
      <x:c r="G9" s="14" t="str">
        <x:v>LeagueStandingsPage、联赛选择、赛季选择。</x:v>
      </x:c>
      <x:c r="H9" s="14" t="str">
        <x:v>GET /standings?leagueId=&amp;season=。</x:v>
      </x:c>
      <x:c r="I9" s="14" t="str">
        <x:v>联赛模型、赛季字段。</x:v>
      </x:c>
      <x:c r="J9" s="14" t="str">
        <x:v>积分榜表头固定；排名和积分正确展示。</x:v>
      </x:c>
      <x:c r="K9" s="14" t="str">
        <x:v>standings_view、league_filter_click。</x:v>
      </x:c>
      <x:c r="L9" s="14" t="str">
        <x:v>实现StandingsPage和Table UI。</x:v>
      </x:c>
      <x:c r="M9" s="14" t="str">
        <x:v>Not Started</x:v>
      </x:c>
      <x:c r="N9" s="14" t="str">
        <x:v>Flutter</x:v>
      </x:c>
      <x:c r="O9" s="14" t="str"/>
    </x:row>
    <x:row r="10" ht="54" customHeight="1">
      <x:c r="A10" s="14" t="str">
        <x:v>PRD-009</x:v>
      </x:c>
      <x:c r="B10" s="14" t="str">
        <x:v>球队/赛事搜索</x:v>
      </x:c>
      <x:c r="C10" s="14" t="str">
        <x:v>P1</x:v>
      </x:c>
      <x:c r="D10" s="14" t="str">
        <x:v>Post-MVP</x:v>
      </x:c>
      <x:c r="E10" s="14" t="str">
        <x:v>作为用户，我希望搜索球队或联赛并快速关注。</x:v>
      </x:c>
      <x:c r="F10" s="14" t="str">
        <x:v>支持按关键词搜索球队、联赛、比赛，展示最近搜索。</x:v>
      </x:c>
      <x:c r="G10" s="14" t="str">
        <x:v>SearchPage、搜索框、结果分组、最近搜索。</x:v>
      </x:c>
      <x:c r="H10" s="14" t="str">
        <x:v>GET /search?q=；本地recentSearch。</x:v>
      </x:c>
      <x:c r="I10" s="14" t="str">
        <x:v>缓存、收藏模块。</x:v>
      </x:c>
      <x:c r="J10" s="14" t="str">
        <x:v>输入防抖300ms；搜索失败有错误提示。</x:v>
      </x:c>
      <x:c r="K10" s="14" t="str">
        <x:v>search_submit、search_result_click。</x:v>
      </x:c>
      <x:c r="L10" s="14" t="str">
        <x:v>实现SearchPage和debounce provider。</x:v>
      </x:c>
      <x:c r="M10" s="14" t="str">
        <x:v>Not Started</x:v>
      </x:c>
      <x:c r="N10" s="14" t="str">
        <x:v>Flutter</x:v>
      </x:c>
      <x:c r="O10" s="14" t="str"/>
    </x:row>
    <x:row r="11" ht="54" customHeight="1">
      <x:c r="A11" s="14" t="str">
        <x:v>PRD-010</x:v>
      </x:c>
      <x:c r="B11" s="14" t="str">
        <x:v>关注比赛/球队</x:v>
      </x:c>
      <x:c r="C11" s="14" t="str">
        <x:v>P0</x:v>
      </x:c>
      <x:c r="D11" s="14" t="str">
        <x:v>MVP</x:v>
      </x:c>
      <x:c r="E11" s="14" t="str">
        <x:v>作为用户，我希望关注喜欢的球队和比赛，首页优先看到它们。</x:v>
      </x:c>
      <x:c r="F11" s="14" t="str">
        <x:v>可收藏比赛/球队，关注列表独立展示，数据本地持久化。</x:v>
      </x:c>
      <x:c r="G11" s="14" t="str">
        <x:v>星标按钮、关注页、取消关注确认。</x:v>
      </x:c>
      <x:c r="H11" s="14" t="str">
        <x:v>favorites local store；可选sync。</x:v>
      </x:c>
      <x:c r="I11" s="14" t="str">
        <x:v>Hive/SharedPreferences、Match/Team模型。</x:v>
      </x:c>
      <x:c r="J11" s="14" t="str">
        <x:v>重启App后关注状态不丢；取消关注后列表刷新。</x:v>
      </x:c>
      <x:c r="K11" s="14" t="str">
        <x:v>favorite_add、favorite_remove、favorites_page_view。</x:v>
      </x:c>
      <x:c r="L11" s="14" t="str">
        <x:v>实现FavoritesRepository和FavoritesPage。</x:v>
      </x:c>
      <x:c r="M11" s="14" t="str">
        <x:v>Not Started</x:v>
      </x:c>
      <x:c r="N11" s="14" t="str">
        <x:v>Flutter</x:v>
      </x:c>
      <x:c r="O11" s="14" t="str"/>
    </x:row>
    <x:row r="12" ht="54" customHeight="1">
      <x:c r="A12" s="14" t="str">
        <x:v>PRD-011</x:v>
      </x:c>
      <x:c r="B12" s="14" t="str">
        <x:v>关键事件通知</x:v>
      </x:c>
      <x:c r="C12" s="14" t="str">
        <x:v>P0</x:v>
      </x:c>
      <x:c r="D12" s="14" t="str">
        <x:v>MVP</x:v>
      </x:c>
      <x:c r="E12" s="14" t="str">
        <x:v>作为用户，我希望关注比赛有进球、红牌、开赛时收到提醒。</x:v>
      </x:c>
      <x:c r="F12" s="14" t="str">
        <x:v>支持开赛、进球、红牌、完场通知；可按比赛/球队订阅。</x:v>
      </x:c>
      <x:c r="G12" s="14" t="str">
        <x:v>通知权限引导、通知设置、测试通知按钮。</x:v>
      </x:c>
      <x:c r="H12" s="14" t="str">
        <x:v>FCM topics / local notification；notification_settings。</x:v>
      </x:c>
      <x:c r="I12" s="14" t="str">
        <x:v>关注模块、后端推送或本地触发策略。</x:v>
      </x:c>
      <x:c r="J12" s="14" t="str">
        <x:v>用户授权后能收到测试通知；未授权时不反复打扰。</x:v>
      </x:c>
      <x:c r="K12" s="14" t="str">
        <x:v>notification_permission_view、notification_received。</x:v>
      </x:c>
      <x:c r="L12" s="14" t="str">
        <x:v>实现通知权限流程和本地/FCM接口抽象。</x:v>
      </x:c>
      <x:c r="M12" s="14" t="str">
        <x:v>Not Started</x:v>
      </x:c>
      <x:c r="N12" s="14" t="str">
        <x:v>Flutter</x:v>
      </x:c>
      <x:c r="O12" s="14" t="str"/>
    </x:row>
    <x:row r="13" ht="54" customHeight="1">
      <x:c r="A13" s="14" t="str">
        <x:v>PRD-012</x:v>
      </x:c>
      <x:c r="B13" s="14" t="str">
        <x:v>实时通信与弱网体验</x:v>
      </x:c>
      <x:c r="C13" s="14" t="str">
        <x:v>P0</x:v>
      </x:c>
      <x:c r="D13" s="14" t="str">
        <x:v>MVP</x:v>
      </x:c>
      <x:c r="E13" s="14" t="str">
        <x:v>作为用户，我希望比分稳定更新，网络不好时也能知道数据是否过期。</x:v>
      </x:c>
      <x:c r="F13" s="14" t="str">
        <x:v>WebSocket订阅比赛/赛事列表，支持心跳、重连、断网提示、最后更新时间。</x:v>
      </x:c>
      <x:c r="G13" s="14" t="str">
        <x:v>顶部连接状态、toast、stale badge。</x:v>
      </x:c>
      <x:c r="H13" s="14" t="str">
        <x:v>WS /live；eventId、sequence、serverTime。</x:v>
      </x:c>
      <x:c r="I13" s="14" t="str">
        <x:v>后端WS、缓存、事件去重。</x:v>
      </x:c>
      <x:c r="J13" s="14" t="str">
        <x:v>断网后显示离线状态；恢复后重新订阅并补拉最新数据。</x:v>
      </x:c>
      <x:c r="K13" s="14" t="str">
        <x:v>ws_connected、ws_reconnect、data_stale。</x:v>
      </x:c>
      <x:c r="L13" s="14" t="str">
        <x:v>实现RealtimeService、ReconnectPolicy、EventDeduper。</x:v>
      </x:c>
      <x:c r="M13" s="14" t="str">
        <x:v>Not Started</x:v>
      </x:c>
      <x:c r="N13" s="14" t="str">
        <x:v>Flutter</x:v>
      </x:c>
      <x:c r="O13" s="14" t="str"/>
    </x:row>
    <x:row r="14" ht="54" customHeight="1">
      <x:c r="A14" s="14" t="str">
        <x:v>PRD-013</x:v>
      </x:c>
      <x:c r="B14" s="14" t="str">
        <x:v>数据异常兜底</x:v>
      </x:c>
      <x:c r="C14" s="14" t="str">
        <x:v>P0</x:v>
      </x:c>
      <x:c r="D14" s="14" t="str">
        <x:v>MVP</x:v>
      </x:c>
      <x:c r="E14" s="14" t="str">
        <x:v>作为用户，我不希望看到明显错误比分或卡死页面。</x:v>
      </x:c>
      <x:c r="F14" s="14" t="str">
        <x:v>对重复、乱序、字段缺失、比赛取消/延期做兜底展示。</x:v>
      </x:c>
      <x:c r="G14" s="14" t="str">
        <x:v>错误banner、字段占位、比赛状态标签。</x:v>
      </x:c>
      <x:c r="H14" s="14" t="str">
        <x:v>status: scheduled/live/ht/ft/postponed/cancelled/suspended。</x:v>
      </x:c>
      <x:c r="I14" s="14" t="str">
        <x:v>API规范、状态机。</x:v>
      </x:c>
      <x:c r="J14" s="14" t="str">
        <x:v>取消/延期赛事不进入live分组；字段为空时UI安全渲染。</x:v>
      </x:c>
      <x:c r="K14" s="14" t="str">
        <x:v>data_error_detected、fallback_render。</x:v>
      </x:c>
      <x:c r="L14" s="14" t="str">
        <x:v>实现MatchStatus枚举和safe mapper。</x:v>
      </x:c>
      <x:c r="M14" s="14" t="str">
        <x:v>Not Started</x:v>
      </x:c>
      <x:c r="N14" s="14" t="str">
        <x:v>Flutter</x:v>
      </x:c>
      <x:c r="O14" s="14" t="str"/>
    </x:row>
    <x:row r="15" ht="54" customHeight="1">
      <x:c r="A15" s="14" t="str">
        <x:v>PRD-014</x:v>
      </x:c>
      <x:c r="B15" s="14" t="str">
        <x:v>我的页面与设置</x:v>
      </x:c>
      <x:c r="C15" s="14" t="str">
        <x:v>P1</x:v>
      </x:c>
      <x:c r="D15" s="14" t="str">
        <x:v>MVP</x:v>
      </x:c>
      <x:c r="E15" s="14" t="str">
        <x:v>作为用户，我希望设置主题、语言和通知偏好。</x:v>
      </x:c>
      <x:c r="F15" s="14" t="str">
        <x:v>我的页包含主题、语言、通知、缓存清理、关于版本。</x:v>
      </x:c>
      <x:c r="G15" s="14" t="str">
        <x:v>Profile/SettingsPage、主题切换、语言切换。</x:v>
      </x:c>
      <x:c r="H15" s="14" t="str">
        <x:v>local settings store。</x:v>
      </x:c>
      <x:c r="I15" s="14" t="str">
        <x:v>主题系统、本地化。</x:v>
      </x:c>
      <x:c r="J15" s="14" t="str">
        <x:v>切换深浅色即时生效；设置重启后保留。</x:v>
      </x:c>
      <x:c r="K15" s="14" t="str">
        <x:v>theme_change、language_change、cache_clear。</x:v>
      </x:c>
      <x:c r="L15" s="14" t="str">
        <x:v>实现SettingsProvider和SettingsPage。</x:v>
      </x:c>
      <x:c r="M15" s="14" t="str">
        <x:v>Not Started</x:v>
      </x:c>
      <x:c r="N15" s="14" t="str">
        <x:v>Flutter</x:v>
      </x:c>
      <x:c r="O15" s="14" t="str"/>
    </x:row>
    <x:row r="16" ht="54" customHeight="1">
      <x:c r="A16" s="14" t="str">
        <x:v>PRD-015</x:v>
      </x:c>
      <x:c r="B16" s="14" t="str">
        <x:v>深色/浅色主题</x:v>
      </x:c>
      <x:c r="C16" s="14" t="str">
        <x:v>P0</x:v>
      </x:c>
      <x:c r="D16" s="14" t="str">
        <x:v>MVP</x:v>
      </x:c>
      <x:c r="E16" s="14" t="str">
        <x:v>作为用户，我希望夜间看球不刺眼。</x:v>
      </x:c>
      <x:c r="F16" s="14" t="str">
        <x:v>提供Material 3深浅色主题，比赛状态颜色统一。</x:v>
      </x:c>
      <x:c r="G16" s="14" t="str">
        <x:v>Design tokens、ThemeData、组件状态色。</x:v>
      </x:c>
      <x:c r="H16" s="14" t="str">
        <x:v>无。</x:v>
      </x:c>
      <x:c r="I16" s="14" t="str">
        <x:v>UI组件库。</x:v>
      </x:c>
      <x:c r="J16" s="14" t="str">
        <x:v>所有核心页面深浅色可读，无硬编码不可读色值。</x:v>
      </x:c>
      <x:c r="K16" s="14" t="str">
        <x:v>theme_mode_view。</x:v>
      </x:c>
      <x:c r="L16" s="14" t="str">
        <x:v>提取AppTheme并重构颜色引用。</x:v>
      </x:c>
      <x:c r="M16" s="14" t="str">
        <x:v>Not Started</x:v>
      </x:c>
      <x:c r="N16" s="14" t="str">
        <x:v>Design</x:v>
      </x:c>
      <x:c r="O16" s="14" t="str"/>
    </x:row>
    <x:row r="17" ht="54" customHeight="1">
      <x:c r="A17" s="14" t="str">
        <x:v>PRD-016</x:v>
      </x:c>
      <x:c r="B17" s="14" t="str">
        <x:v>多语言</x:v>
      </x:c>
      <x:c r="C17" s="14" t="str">
        <x:v>P1</x:v>
      </x:c>
      <x:c r="D17" s="14" t="str">
        <x:v>Post-MVP</x:v>
      </x:c>
      <x:c r="E17" s="14" t="str">
        <x:v>作为用户，我希望界面支持中文/英文。</x:v>
      </x:c>
      <x:c r="F17" s="14" t="str">
        <x:v>使用arb管理中文、英文文案；数据源名称保留原文或映射。</x:v>
      </x:c>
      <x:c r="G17" s="14" t="str">
        <x:v>语言设置、l10n资源。</x:v>
      </x:c>
      <x:c r="H17" s="14" t="str">
        <x:v>Flutter l10n。</x:v>
      </x:c>
      <x:c r="I17" s="14" t="str">
        <x:v>设置页。</x:v>
      </x:c>
      <x:c r="J17" s="14" t="str">
        <x:v>核心页面文案不硬编码；切换语言后重启/即时生效。</x:v>
      </x:c>
      <x:c r="K17" s="14" t="str">
        <x:v>language_change。</x:v>
      </x:c>
      <x:c r="L17" s="14" t="str">
        <x:v>添加flutter_gen_l10n配置和arb文件。</x:v>
      </x:c>
      <x:c r="M17" s="14" t="str">
        <x:v>Not Started</x:v>
      </x:c>
      <x:c r="N17" s="14" t="str">
        <x:v>Flutter</x:v>
      </x:c>
      <x:c r="O17" s="14" t="str"/>
    </x:row>
    <x:row r="18" ht="54" customHeight="1">
      <x:c r="A18" s="14" t="str">
        <x:v>PRD-017</x:v>
      </x:c>
      <x:c r="B18" s="14" t="str">
        <x:v>图文直播/资讯</x:v>
      </x:c>
      <x:c r="C18" s="14" t="str">
        <x:v>P1</x:v>
      </x:c>
      <x:c r="D18" s="14" t="str">
        <x:v>Post-MVP</x:v>
      </x:c>
      <x:c r="E18" s="14" t="str">
        <x:v>作为用户，我希望在重要比赛看到图文直播或赛况资讯。</x:v>
      </x:c>
      <x:c r="F18" s="14" t="str">
        <x:v>资讯tab展示官方/内部图文事件，支持时间排序。</x:v>
      </x:c>
      <x:c r="G18" s="14" t="str">
        <x:v>News/LiveText tab、富文本片段。</x:v>
      </x:c>
      <x:c r="H18" s="14" t="str">
        <x:v>GET /matches/{id}/commentary。</x:v>
      </x:c>
      <x:c r="I18" s="14" t="str">
        <x:v>内容源。</x:v>
      </x:c>
      <x:c r="J18" s="14" t="str">
        <x:v>资讯缺失时不显示tab或显示空状态。</x:v>
      </x:c>
      <x:c r="K18" s="14" t="str">
        <x:v>commentary_tab_view。</x:v>
      </x:c>
      <x:c r="L18" s="14" t="str">
        <x:v>预留CommentaryTab接口与空状态。</x:v>
      </x:c>
      <x:c r="M18" s="14" t="str">
        <x:v>Not Started</x:v>
      </x:c>
      <x:c r="N18" s="14" t="str">
        <x:v>Product</x:v>
      </x:c>
      <x:c r="O18" s="14" t="str"/>
    </x:row>
    <x:row r="19" ht="54" customHeight="1">
      <x:c r="A19" s="14" t="str">
        <x:v>PRD-018</x:v>
      </x:c>
      <x:c r="B19" s="14" t="str">
        <x:v>分享比赛</x:v>
      </x:c>
      <x:c r="C19" s="14" t="str">
        <x:v>P1</x:v>
      </x:c>
      <x:c r="D19" s="14" t="str">
        <x:v>Post-MVP</x:v>
      </x:c>
      <x:c r="E19" s="14" t="str">
        <x:v>作为用户，我希望把某场比赛分享给朋友。</x:v>
      </x:c>
      <x:c r="F19" s="14" t="str">
        <x:v>分享比分卡片/链接，后续支持动态图片。</x:v>
      </x:c>
      <x:c r="G19" s="14" t="str">
        <x:v>分享按钮、ShareSheet。</x:v>
      </x:c>
      <x:c r="H19" s="14" t="str">
        <x:v>match deep link。</x:v>
      </x:c>
      <x:c r="I19" s="14" t="str">
        <x:v>路由、深链。</x:v>
      </x:c>
      <x:c r="J19" s="14" t="str">
        <x:v>分享内容包含球队、比分、状态、App链接。</x:v>
      </x:c>
      <x:c r="K19" s="14" t="str">
        <x:v>match_share_click。</x:v>
      </x:c>
      <x:c r="L19" s="14" t="str">
        <x:v>接入share_plus并生成分享文案。</x:v>
      </x:c>
      <x:c r="M19" s="14" t="str">
        <x:v>Not Started</x:v>
      </x:c>
      <x:c r="N19" s="14" t="str">
        <x:v>Flutter</x:v>
      </x:c>
      <x:c r="O19" s="14" t="str"/>
    </x:row>
    <x:row r="20" ht="54" customHeight="1">
      <x:c r="A20" s="14" t="str">
        <x:v>PRD-019</x:v>
      </x:c>
      <x:c r="B20" s="14" t="str">
        <x:v>登录/游客身份</x:v>
      </x:c>
      <x:c r="C20" s="14" t="str">
        <x:v>P2</x:v>
      </x:c>
      <x:c r="D20" s="14" t="str">
        <x:v>Optional</x:v>
      </x:c>
      <x:c r="E20" s="14" t="str">
        <x:v>作为重度用户，我希望换设备后关注列表可同步。</x:v>
      </x:c>
      <x:c r="F20" s="14" t="str">
        <x:v>MVP先游客，本地存储；后续支持登录同步关注。</x:v>
      </x:c>
      <x:c r="G20" s="14" t="str">
        <x:v>登录入口、账号绑定。</x:v>
      </x:c>
      <x:c r="H20" s="14" t="str">
        <x:v>auth/profile/favorites sync。</x:v>
      </x:c>
      <x:c r="I20" s="14" t="str">
        <x:v>后端用户系统。</x:v>
      </x:c>
      <x:c r="J20" s="14" t="str">
        <x:v>未登录也能完整使用MVP；登录为增强项。</x:v>
      </x:c>
      <x:c r="K20" s="14" t="str">
        <x:v>login_click、sync_success。</x:v>
      </x:c>
      <x:c r="L20" s="14" t="str">
        <x:v>仅预留AuthRepository接口，不阻塞MVP。</x:v>
      </x:c>
      <x:c r="M20" s="14" t="str">
        <x:v>Deferred</x:v>
      </x:c>
      <x:c r="N20" s="14" t="str">
        <x:v>Product</x:v>
      </x:c>
      <x:c r="O20" s="14" t="str"/>
    </x:row>
    <x:row r="21" ht="54" customHeight="1">
      <x:c r="A21" s="14" t="str">
        <x:v>PRD-020</x:v>
      </x:c>
      <x:c r="B21" s="14" t="str">
        <x:v>数据源/后台对接</x:v>
      </x:c>
      <x:c r="C21" s="14" t="str">
        <x:v>P0</x:v>
      </x:c>
      <x:c r="D21" s="14" t="str">
        <x:v>MVP</x:v>
      </x:c>
      <x:c r="E21" s="14" t="str">
        <x:v>作为产品方，我需要稳定接入第三方赛事数据并标准化。</x:v>
      </x:c>
      <x:c r="F21" s="14" t="str">
        <x:v>统一SportsDataRepository，屏蔽供应商差异，支持mock和真实API切换。</x:v>
      </x:c>
      <x:c r="G21" s="14" t="str">
        <x:v>无直接UI；通过所有页面消费。</x:v>
      </x:c>
      <x:c r="H21" s="14" t="str">
        <x:v>REST/WS provider；adapter layer。</x:v>
      </x:c>
      <x:c r="I21" s="14" t="str">
        <x:v>选择数据供应商或后端mock。</x:v>
      </x:c>
      <x:c r="J21" s="14" t="str">
        <x:v>Mock、开发、生产环境能切换；字段映射有单元测试。</x:v>
      </x:c>
      <x:c r="K21" s="14" t="str">
        <x:v>api_error、provider_latency。</x:v>
      </x:c>
      <x:c r="L21" s="14" t="str">
        <x:v>实现DataProvider接口、MockProvider、RemoteProvider。</x:v>
      </x:c>
      <x:c r="M21" s="14" t="str">
        <x:v>Not Started</x:v>
      </x:c>
      <x:c r="N21" s="14" t="str">
        <x:v>Backend</x:v>
      </x:c>
      <x:c r="O21" s="14" t="str"/>
    </x:row>
    <x:row r="22" ht="54" customHeight="1">
      <x:c r="A22" s="14" t="str">
        <x:v>PRD-021</x:v>
      </x:c>
      <x:c r="B22" s="14" t="str">
        <x:v>埋点与质量监控</x:v>
      </x:c>
      <x:c r="C22" s="14" t="str">
        <x:v>P1</x:v>
      </x:c>
      <x:c r="D22" s="14" t="str">
        <x:v>MVP</x:v>
      </x:c>
      <x:c r="E22" s="14" t="str">
        <x:v>作为开发者，我希望知道实时更新是否稳定、页面是否卡顿。</x:v>
      </x:c>
      <x:c r="F22" s="14" t="str">
        <x:v>埋点App打开、页面加载、WS连接、事件延迟、通知触达、错误。</x:v>
      </x:c>
      <x:c r="G22" s="14" t="str">
        <x:v>无直接UI；Debug页可展示。</x:v>
      </x:c>
      <x:c r="H22" s="14" t="str">
        <x:v>analytics、crash、performance。</x:v>
      </x:c>
      <x:c r="I22" s="14" t="str">
        <x:v>埋点SDK、日志规范。</x:v>
      </x:c>
      <x:c r="J22" s="14" t="str">
        <x:v>关键用户路径都有埋点；崩溃和接口错误可追踪。</x:v>
      </x:c>
      <x:c r="K22" s="14" t="str">
        <x:v>ws_latency_ms、api_latency_ms、crash_free_rate。</x:v>
      </x:c>
      <x:c r="L22" s="14" t="str">
        <x:v>实现AnalyticsService抽象和关键埋点调用。</x:v>
      </x:c>
      <x:c r="M22" s="14" t="str">
        <x:v>Not Started</x:v>
      </x:c>
      <x:c r="N22" s="14" t="str">
        <x:v>Analytics</x:v>
      </x:c>
      <x:c r="O22" s="14" t="str"/>
    </x:row>
    <x:row r="23" ht="54" customHeight="1">
      <x:c r="A23" s="14" t="str">
        <x:v>PRD-022</x:v>
      </x:c>
      <x:c r="B23" s="14" t="str">
        <x:v>赛前/赛后状态展示</x:v>
      </x:c>
      <x:c r="C23" s="14" t="str">
        <x:v>P0</x:v>
      </x:c>
      <x:c r="D23" s="14" t="str">
        <x:v>MVP</x:v>
      </x:c>
      <x:c r="E23" s="14" t="str">
        <x:v>作为用户，我希望清楚区分未开始、进行中、半场、完场、取消。</x:v>
      </x:c>
      <x:c r="F23" s="14" t="str">
        <x:v>比赛状态统一映射并影响排序、颜色、刷新频率。</x:v>
      </x:c>
      <x:c r="G23" s="14" t="str">
        <x:v>状态badge、列表分组、详情状态。</x:v>
      </x:c>
      <x:c r="H23" s="14" t="str">
        <x:v>MatchStatus enum。</x:v>
      </x:c>
      <x:c r="I23" s="14" t="str">
        <x:v>数据源规范。</x:v>
      </x:c>
      <x:c r="J23" s="14" t="str">
        <x:v>各状态badge展示准确；完场比赛停止高频订阅。</x:v>
      </x:c>
      <x:c r="K23" s="14" t="str">
        <x:v>match_status_view。</x:v>
      </x:c>
      <x:c r="L23" s="14" t="str">
        <x:v>实现MatchStatusMapper和UI badge。</x:v>
      </x:c>
      <x:c r="M23" s="14" t="str">
        <x:v>Not Started</x:v>
      </x:c>
      <x:c r="N23" s="14" t="str">
        <x:v>Flutter</x:v>
      </x:c>
      <x:c r="O23" s="14" t="str"/>
    </x:row>
    <x:row r="24" ht="54" customHeight="1">
      <x:c r="A24" s="14" t="str">
        <x:v>PRD-023</x:v>
      </x:c>
      <x:c r="B24" s="14" t="str">
        <x:v>球员榜/球队榜</x:v>
      </x:c>
      <x:c r="C24" s="14" t="str">
        <x:v>P1</x:v>
      </x:c>
      <x:c r="D24" s="14" t="str">
        <x:v>Post-MVP</x:v>
      </x:c>
      <x:c r="E24" s="14" t="str">
        <x:v>作为用户，我希望查看射手榜、助攻榜等榜单。</x:v>
      </x:c>
      <x:c r="F24" s="14" t="str">
        <x:v>按联赛展示球员榜，支持进球/助攻/黄牌维度。</x:v>
      </x:c>
      <x:c r="G24" s="14" t="str">
        <x:v>PlayerRankingPage、筛选chip。</x:v>
      </x:c>
      <x:c r="H24" s="14" t="str">
        <x:v>GET /rankings?leagueId=&amp;type=goals。</x:v>
      </x:c>
      <x:c r="I24" s="14" t="str">
        <x:v>球员模型、联赛模型。</x:v>
      </x:c>
      <x:c r="J24" s="14" t="str">
        <x:v>榜单为空时展示暂无数据；排序稳定。</x:v>
      </x:c>
      <x:c r="K24" s="14" t="str">
        <x:v>ranking_view、ranking_filter_click。</x:v>
      </x:c>
      <x:c r="L24" s="14" t="str">
        <x:v>实现PlayerRankingPage MVP列表。</x:v>
      </x:c>
      <x:c r="M24" s="14" t="str">
        <x:v>Not Started</x:v>
      </x:c>
      <x:c r="N24" s="14" t="str">
        <x:v>Flutter</x:v>
      </x:c>
      <x:c r="O24" s="14" t="str"/>
    </x:row>
    <x:row r="25" ht="54" customHeight="1">
      <x:c r="A25" s="14" t="str">
        <x:v>PRD-024</x:v>
      </x:c>
      <x:c r="B25" s="14" t="str">
        <x:v>篮球/电竞扩展</x:v>
      </x:c>
      <x:c r="C25" s="14" t="str">
        <x:v>P2</x:v>
      </x:c>
      <x:c r="D25" s="14" t="str">
        <x:v>Optional</x:v>
      </x:c>
      <x:c r="E25" s="14" t="str">
        <x:v>作为未来用户，我希望App能扩展到不同运动项目。</x:v>
      </x:c>
      <x:c r="F25" s="14" t="str">
        <x:v>模型层区分sportType；UI组件尽量抽象，不把足球规则硬编码到全局。</x:v>
      </x:c>
      <x:c r="G25" s="14" t="str">
        <x:v>运动类型Tab、不同项目卡片适配。</x:v>
      </x:c>
      <x:c r="H25" s="14" t="str">
        <x:v>sportType、score periods、event types。</x:v>
      </x:c>
      <x:c r="I25" s="14" t="str">
        <x:v>足球MVP稳定后再做。</x:v>
      </x:c>
      <x:c r="J25" s="14" t="str">
        <x:v>添加新sportType时无需重写导航和基础列表。</x:v>
      </x:c>
      <x:c r="K25" s="14" t="str">
        <x:v>sport_type_click。</x:v>
      </x:c>
      <x:c r="L25" s="14" t="str">
        <x:v>在模型中预留SportType和ScoreBreakdown。</x:v>
      </x:c>
      <x:c r="M25" s="14" t="str">
        <x:v>Deferred</x:v>
      </x:c>
      <x:c r="N25" s="14" t="str">
        <x:v>Product</x:v>
      </x:c>
      <x:c r="O25" s="14" t="str"/>
    </x:row>
    <x:row r="26" ht="54" customHeight="1">
      <x:c r="A26" s="14" t="str">
        <x:v>PRD-025</x:v>
      </x:c>
      <x:c r="B26" s="14" t="str">
        <x:v>隐私与合规</x:v>
      </x:c>
      <x:c r="C26" s="14" t="str">
        <x:v>P0</x:v>
      </x:c>
      <x:c r="D26" s="14" t="str">
        <x:v>MVP</x:v>
      </x:c>
      <x:c r="E26" s="14" t="str">
        <x:v>作为用户，我希望知道App如何使用通知和数据。</x:v>
      </x:c>
      <x:c r="F26" s="14" t="str">
        <x:v>提供隐私说明、通知权限说明、第三方SDK声明。</x:v>
      </x:c>
      <x:c r="G26" s="14" t="str">
        <x:v>设置页隐私入口、权限弹窗文案。</x:v>
      </x:c>
      <x:c r="H26" s="14" t="str">
        <x:v>无。</x:v>
      </x:c>
      <x:c r="I26" s="14" t="str">
        <x:v>通知、埋点SDK清单。</x:v>
      </x:c>
      <x:c r="J26" s="14" t="str">
        <x:v>首次请求权限前有用途说明；隐私页可访问。</x:v>
      </x:c>
      <x:c r="K26" s="14" t="str">
        <x:v>privacy_view。</x:v>
      </x:c>
      <x:c r="L26" s="14" t="str">
        <x:v>新增PrivacyPage和权限说明文案。</x:v>
      </x:c>
      <x:c r="M26" s="14" t="str">
        <x:v>Not Started</x:v>
      </x:c>
      <x:c r="N26" s="14" t="str">
        <x:v>Security</x:v>
      </x:c>
      <x:c r="O26" s="14" t="str"/>
    </x:row>
    <x:row r="27" ht="54" customHeight="1">
      <x:c r="A27" s="14" t="str">
        <x:v>PRD-026</x:v>
      </x:c>
      <x:c r="B27" s="14" t="str">
        <x:v>空状态/骨架屏/错误状态</x:v>
      </x:c>
      <x:c r="C27" s="14" t="str">
        <x:v>P0</x:v>
      </x:c>
      <x:c r="D27" s="14" t="str">
        <x:v>MVP</x:v>
      </x:c>
      <x:c r="E27" s="14" t="str">
        <x:v>作为用户，我希望加载慢或失败时也知道发生了什么。</x:v>
      </x:c>
      <x:c r="F27" s="14" t="str">
        <x:v>核心页面都有loading、empty、error、retry状态。</x:v>
      </x:c>
      <x:c r="G27" s="14" t="str">
        <x:v>Skeleton、EmptyState、ErrorState、Retry button。</x:v>
      </x:c>
      <x:c r="H27" s="14" t="str">
        <x:v>错误码和loading state。</x:v>
      </x:c>
      <x:c r="I27" s="14" t="str">
        <x:v>页面架构。</x:v>
      </x:c>
      <x:c r="J27" s="14" t="str">
        <x:v>断网/接口失败可重试；不出现未处理异常页面。</x:v>
      </x:c>
      <x:c r="K27" s="14" t="str">
        <x:v>retry_click、page_error。</x:v>
      </x:c>
      <x:c r="L27" s="14" t="str">
        <x:v>实现通用AsyncView组件。</x:v>
      </x:c>
      <x:c r="M27" s="14" t="str">
        <x:v>Not Started</x:v>
      </x:c>
      <x:c r="N27" s="14" t="str">
        <x:v>Flutter</x:v>
      </x:c>
      <x:c r="O27" s="14" t="str"/>
    </x:row>
    <x:row r="28" ht="54" customHeight="1">
      <x:c r="A28" s="14" t="str">
        <x:v>PRD-027</x:v>
      </x:c>
      <x:c r="B28" s="14" t="str">
        <x:v>商业化预留</x:v>
      </x:c>
      <x:c r="C28" s="14" t="str">
        <x:v>P2</x:v>
      </x:c>
      <x:c r="D28" s="14" t="str">
        <x:v>Optional</x:v>
      </x:c>
      <x:c r="E28" s="14" t="str">
        <x:v>作为产品方，我希望未来能插入广告或会员功能。</x:v>
      </x:c>
      <x:c r="F28" s="14" t="str">
        <x:v>MVP不接广告，只预留banner slot和配置开关。</x:v>
      </x:c>
      <x:c r="G28" s="14" t="str">
        <x:v>首页banner placeholder。</x:v>
      </x:c>
      <x:c r="H28" s="14" t="str">
        <x:v>remote config。</x:v>
      </x:c>
      <x:c r="I28" s="14" t="str">
        <x:v>合规评估。</x:v>
      </x:c>
      <x:c r="J28" s="14" t="str">
        <x:v>默认不开启，不影响核心体验。</x:v>
      </x:c>
      <x:c r="K28" s="14" t="str">
        <x:v>ad_slot_view。</x:v>
      </x:c>
      <x:c r="L28" s="14" t="str">
        <x:v>只预留FeatureFlag，不实现广告。</x:v>
      </x:c>
      <x:c r="M28" s="14" t="str">
        <x:v>Deferred</x:v>
      </x:c>
      <x:c r="N28" s="14" t="str">
        <x:v>Product</x:v>
      </x:c>
      <x:c r="O28" s="14" t="str"/>
    </x:row>
    <x:row r="29" ht="54" customHeight="1">
      <x:c r="A29" s="14" t="str">
        <x:v>PRD-028</x:v>
      </x:c>
      <x:c r="B29" s="14" t="str">
        <x:v>上线验收</x:v>
      </x:c>
      <x:c r="C29" s="14" t="str">
        <x:v>P0</x:v>
      </x:c>
      <x:c r="D29" s="14" t="str">
        <x:v>MVP</x:v>
      </x:c>
      <x:c r="E29" s="14" t="str">
        <x:v>作为团队，我需要上线前清晰验收标准。</x:v>
      </x:c>
      <x:c r="F29" s="14" t="str">
        <x:v>覆盖功能验收、实时稳定性、弱网、通知、崩溃、性能、隐私。</x:v>
      </x:c>
      <x:c r="G29" s="14" t="str">
        <x:v>QA checklist、release checklist。</x:v>
      </x:c>
      <x:c r="H29" s="14" t="str">
        <x:v>测试报告、崩溃监控。</x:v>
      </x:c>
      <x:c r="I29" s="14" t="str">
        <x:v>所有P0完成。</x:v>
      </x:c>
      <x:c r="J29" s="14" t="str">
        <x:v>P0任务Done；无Critical风险；关键路径通过集成测试。</x:v>
      </x:c>
      <x:c r="K29" s="14" t="str">
        <x:v>release_ready、qa_pass_rate。</x:v>
      </x:c>
      <x:c r="L29" s="14" t="str">
        <x:v>生成QA清单并补充集成测试。</x:v>
      </x:c>
      <x:c r="M29" s="14" t="str">
        <x:v>Not Started</x:v>
      </x:c>
      <x:c r="N29" s="14" t="str">
        <x:v>QA</x:v>
      </x:c>
      <x:c r="O29" s="14" t="str"/>
    </x:row>
  </x:sheetData>
  <x:conditionalFormatting sqref="M2:M29">
    <x:cfRule type="expression" dxfId="0" priority="1">
      <x:formula>M2="Done"</x:formula>
    </x:cfRule>
    <x:cfRule type="expression" dxfId="1" priority="2">
      <x:formula>M2="In Progress"</x:formula>
    </x:cfRule>
    <x:cfRule type="expression" dxfId="2" priority="3">
      <x:formula>M2="Blocked"</x:formula>
    </x:cfRule>
    <x:cfRule type="expression" dxfId="3" priority="4">
      <x:formula>M2="Ready for Review"</x:formula>
    </x:cfRule>
  </x:conditionalFormatting>
  <x:conditionalFormatting sqref="C2:C29">
    <x:cfRule type="expression" dxfId="12" priority="5">
      <x:formula>C2="P0"</x:formula>
    </x:cfRule>
    <x:cfRule type="expression" dxfId="13" priority="6">
      <x:formula>C2="P1"</x:formula>
    </x:cfRule>
    <x:cfRule type="expression" dxfId="14" priority="7">
      <x:formula>C2="P2"</x:formula>
    </x:cfRule>
  </x:conditionalFormatting>
  <x:dataValidations count="4">
    <x:dataValidation type="list" sqref="C2:C29">
      <x:formula1>枚举!$B$2:$B$4</x:formula1>
    </x:dataValidation>
    <x:dataValidation type="list" sqref="D2:D29">
      <x:formula1>枚举!$E$2:$E$4</x:formula1>
    </x:dataValidation>
    <x:dataValidation type="list" sqref="M2:M29">
      <x:formula1>枚举!$A$2:$A$7</x:formula1>
    </x:dataValidation>
    <x:dataValidation type="list" sqref="N2:N29">
      <x:formula1>枚举!$C$2:$C$9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5888b2489845f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14" hidden="0" customWidth="1"/>
    <x:col min="4" max="4" width="16" hidden="0" customWidth="1"/>
    <x:col min="5" max="5" width="10" hidden="0" customWidth="1"/>
    <x:col min="6" max="6" width="10" hidden="0" customWidth="1"/>
    <x:col min="7" max="7" width="24" hidden="0" customWidth="1"/>
    <x:col min="8" max="8" width="42" hidden="0" customWidth="1"/>
    <x:col min="9" max="9" width="18" hidden="0" customWidth="1"/>
    <x:col min="10" max="10" width="30" hidden="0" customWidth="1"/>
    <x:col min="11" max="11" width="30" hidden="0" customWidth="1"/>
    <x:col min="12" max="12" width="26" hidden="0" customWidth="1"/>
    <x:col min="13" max="13" width="12" hidden="0" customWidth="1"/>
    <x:col min="14" max="14" width="12" hidden="0" customWidth="1"/>
    <x:col min="15" max="15" width="12" hidden="0" customWidth="1"/>
    <x:col min="16" max="16" width="42" hidden="0" customWidth="1"/>
    <x:col min="17" max="17" width="18" hidden="0" customWidth="1"/>
  </x:cols>
  <x:sheetData>
    <x:row r="1" ht="30" customHeight="1">
      <x:c r="A1" s="6" t="str">
        <x:v>Task ID</x:v>
      </x:c>
      <x:c r="B1" s="6" t="str">
        <x:v>执行序号</x:v>
      </x:c>
      <x:c r="C1" s="6" t="str">
        <x:v>阶段</x:v>
      </x:c>
      <x:c r="D1" s="6" t="str">
        <x:v>模块/Workstream</x:v>
      </x:c>
      <x:c r="E1" s="6" t="str">
        <x:v>优先级</x:v>
      </x:c>
      <x:c r="F1" s="6" t="str">
        <x:v>类型</x:v>
      </x:c>
      <x:c r="G1" s="6" t="str">
        <x:v>任务名称</x:v>
      </x:c>
      <x:c r="H1" s="6" t="str">
        <x:v>具体实现</x:v>
      </x:c>
      <x:c r="I1" s="6" t="str">
        <x:v>前置依赖</x:v>
      </x:c>
      <x:c r="J1" s="6" t="str">
        <x:v>输出物</x:v>
      </x:c>
      <x:c r="K1" s="6" t="str">
        <x:v>验收标准</x:v>
      </x:c>
      <x:c r="L1" s="6" t="str">
        <x:v>测试建议</x:v>
      </x:c>
      <x:c r="M1" s="6" t="str">
        <x:v>复杂度</x:v>
      </x:c>
      <x:c r="N1" s="6" t="str">
        <x:v>状态</x:v>
      </x:c>
      <x:c r="O1" s="6" t="str">
        <x:v>负责人</x:v>
      </x:c>
      <x:c r="P1" s="6" t="str">
        <x:v>Codex执行提示</x:v>
      </x:c>
      <x:c r="Q1" s="6" t="str">
        <x:v>备注</x:v>
      </x:c>
    </x:row>
    <x:row r="2" ht="60" customHeight="1">
      <x:c r="A2" s="14" t="str">
        <x:v>T-001</x:v>
      </x:c>
      <x:c r="B2" s="14" t="n">
        <x:v>1</x:v>
      </x:c>
      <x:c r="C2" s="14" t="str">
        <x:v>Foundation</x:v>
      </x:c>
      <x:c r="D2" s="14" t="str">
        <x:v>项目初始化</x:v>
      </x:c>
      <x:c r="E2" s="14" t="str">
        <x:v>P0</x:v>
      </x:c>
      <x:c r="F2" s="14" t="str">
        <x:v>Architecture</x:v>
      </x:c>
      <x:c r="G2" s="14" t="str">
        <x:v>创建Flutter项目骨架</x:v>
      </x:c>
      <x:c r="H2" s="14" t="str">
        <x:v>建立lib目录结构：core、features、shared、data、domain、presentation；配置analysis_options。</x:v>
      </x:c>
      <x:c r="I2" s="14" t="str">
        <x:v>无</x:v>
      </x:c>
      <x:c r="J2" s="14" t="str">
        <x:v>Flutter工程骨架</x:v>
      </x:c>
      <x:c r="K2" s="14" t="str">
        <x:v>flutter analyze通过；目录结构清晰；README包含运行方式。</x:v>
      </x:c>
      <x:c r="L2" s="14" t="str">
        <x:v>运行flutter analyze和flutter test</x:v>
      </x:c>
      <x:c r="M2" s="14" t="str">
        <x:v>M</x:v>
      </x:c>
      <x:c r="N2" s="14" t="str">
        <x:v>Not Started</x:v>
      </x:c>
      <x:c r="O2" s="14" t="str">
        <x:v>Codex</x:v>
      </x:c>
      <x:c r="P2" s="14" t="str">
        <x:v>Create a Flutter app structure for a live sports score app with clean architecture folders.</x:v>
      </x:c>
      <x:c r="Q2" s="14" t="str"/>
    </x:row>
    <x:row r="3" ht="60" customHeight="1">
      <x:c r="A3" s="14" t="str">
        <x:v>T-002</x:v>
      </x:c>
      <x:c r="B3" s="14" t="n">
        <x:v>2</x:v>
      </x:c>
      <x:c r="C3" s="14" t="str">
        <x:v>Foundation</x:v>
      </x:c>
      <x:c r="D3" s="14" t="str">
        <x:v>依赖配置</x:v>
      </x:c>
      <x:c r="E3" s="14" t="str">
        <x:v>P0</x:v>
      </x:c>
      <x:c r="F3" s="14" t="str">
        <x:v>DevOps</x:v>
      </x:c>
      <x:c r="G3" s="14" t="str">
        <x:v>配置核心依赖</x:v>
      </x:c>
      <x:c r="H3" s="14" t="str">
        <x:v>添加Riverpod、go_router、dio、freezed/json_serializable、hive、web_socket_channel/socket_io_client、firebase_messaging、intl等依赖。</x:v>
      </x:c>
      <x:c r="I3" s="14" t="str">
        <x:v>T-001</x:v>
      </x:c>
      <x:c r="J3" s="14" t="str">
        <x:v>pubspec.yaml</x:v>
      </x:c>
      <x:c r="K3" s="14" t="str">
        <x:v>flutter pub get成功；依赖版本无冲突。</x:v>
      </x:c>
      <x:c r="L3" s="14" t="str">
        <x:v>flutter pub get; flutter pub outdated</x:v>
      </x:c>
      <x:c r="M3" s="14" t="str">
        <x:v>S</x:v>
      </x:c>
      <x:c r="N3" s="14" t="str">
        <x:v>Not Started</x:v>
      </x:c>
      <x:c r="O3" s="14" t="str">
        <x:v>Codex</x:v>
      </x:c>
      <x:c r="P3" s="14" t="str">
        <x:v>Update pubspec dependencies for Riverpod, routing, networking, model generation, cache, realtime, notification.</x:v>
      </x:c>
      <x:c r="Q3" s="14" t="str"/>
    </x:row>
    <x:row r="4" ht="60" customHeight="1">
      <x:c r="A4" s="14" t="str">
        <x:v>T-003</x:v>
      </x:c>
      <x:c r="B4" s="14" t="n">
        <x:v>3</x:v>
      </x:c>
      <x:c r="C4" s="14" t="str">
        <x:v>Foundation</x:v>
      </x:c>
      <x:c r="D4" s="14" t="str">
        <x:v>代码规范</x:v>
      </x:c>
      <x:c r="E4" s="14" t="str">
        <x:v>P0</x:v>
      </x:c>
      <x:c r="F4" s="14" t="str">
        <x:v>DevOps</x:v>
      </x:c>
      <x:c r="G4" s="14" t="str">
        <x:v>配置Lint和代码生成脚本</x:v>
      </x:c>
      <x:c r="H4" s="14" t="str">
        <x:v>配置very_good_analysis或flutter_lints；增加build_runner脚本；统一formatter。</x:v>
      </x:c>
      <x:c r="I4" s="14" t="str">
        <x:v>T-001,T-002</x:v>
      </x:c>
      <x:c r="J4" s="14" t="str">
        <x:v>analysis_options.yaml、tool scripts</x:v>
      </x:c>
      <x:c r="K4" s="14" t="str">
        <x:v>CI和本地analyze一致；代码生成命令可复用。</x:v>
      </x:c>
      <x:c r="L4" s="14" t="str">
        <x:v>dart format --set-exit-if-changed .; flutter analyze</x:v>
      </x:c>
      <x:c r="M4" s="14" t="str">
        <x:v>S</x:v>
      </x:c>
      <x:c r="N4" s="14" t="str">
        <x:v>Not Started</x:v>
      </x:c>
      <x:c r="O4" s="14" t="str">
        <x:v>Codex</x:v>
      </x:c>
      <x:c r="P4" s="14" t="str">
        <x:v>Add lint rules and scripts for build_runner and formatting.</x:v>
      </x:c>
      <x:c r="Q4" s="14" t="str"/>
    </x:row>
    <x:row r="5" ht="60" customHeight="1">
      <x:c r="A5" s="14" t="str">
        <x:v>T-004</x:v>
      </x:c>
      <x:c r="B5" s="14" t="n">
        <x:v>4</x:v>
      </x:c>
      <x:c r="C5" s="14" t="str">
        <x:v>Foundation</x:v>
      </x:c>
      <x:c r="D5" s="14" t="str">
        <x:v>环境配置</x:v>
      </x:c>
      <x:c r="E5" s="14" t="str">
        <x:v>P0</x:v>
      </x:c>
      <x:c r="F5" s="14" t="str">
        <x:v>Architecture</x:v>
      </x:c>
      <x:c r="G5" s="14" t="str">
        <x:v>配置多环境入口</x:v>
      </x:c>
      <x:c r="H5" s="14" t="str">
        <x:v>支持dev/mock/prod环境，抽象EnvConfig：apiBaseUrl、wsUrl、featureFlags。</x:v>
      </x:c>
      <x:c r="I5" s="14" t="str">
        <x:v>T-001</x:v>
      </x:c>
      <x:c r="J5" s="14" t="str">
        <x:v>EnvConfig、main_dev.dart、main_prod.dart</x:v>
      </x:c>
      <x:c r="K5" s="14" t="str">
        <x:v>可通过不同入口启动mock/dev/prod；配置不硬编码在UI。</x:v>
      </x:c>
      <x:c r="L5" s="14" t="str">
        <x:v>启动dev和mock入口</x:v>
      </x:c>
      <x:c r="M5" s="14" t="str">
        <x:v>M</x:v>
      </x:c>
      <x:c r="N5" s="14" t="str">
        <x:v>Not Started</x:v>
      </x:c>
      <x:c r="O5" s="14" t="str">
        <x:v>Codex</x:v>
      </x:c>
      <x:c r="P5" s="14" t="str">
        <x:v>Implement environment configuration with mock/dev/prod entrypoints.</x:v>
      </x:c>
      <x:c r="Q5" s="14" t="str"/>
    </x:row>
    <x:row r="6" ht="60" customHeight="1">
      <x:c r="A6" s="14" t="str">
        <x:v>T-005</x:v>
      </x:c>
      <x:c r="B6" s="14" t="n">
        <x:v>5</x:v>
      </x:c>
      <x:c r="C6" s="14" t="str">
        <x:v>Foundation</x:v>
      </x:c>
      <x:c r="D6" s="14" t="str">
        <x:v>主题系统</x:v>
      </x:c>
      <x:c r="E6" s="14" t="str">
        <x:v>P0</x:v>
      </x:c>
      <x:c r="F6" s="14" t="str">
        <x:v>UI</x:v>
      </x:c>
      <x:c r="G6" s="14" t="str">
        <x:v>实现Material 3深浅色主题</x:v>
      </x:c>
      <x:c r="H6" s="14" t="str">
        <x:v>定义颜色、间距、圆角、Typography、比赛状态色；消除页面硬编码色。</x:v>
      </x:c>
      <x:c r="I6" s="14" t="str">
        <x:v>T-001</x:v>
      </x:c>
      <x:c r="J6" s="14" t="str">
        <x:v>AppTheme、design tokens</x:v>
      </x:c>
      <x:c r="K6" s="14" t="str">
        <x:v>首页和详情页深浅色都可读；ThemeMode可切换。</x:v>
      </x:c>
      <x:c r="L6" s="14" t="str">
        <x:v>Widget test for theme mode; manual visual check</x:v>
      </x:c>
      <x:c r="M6" s="14" t="str">
        <x:v>M</x:v>
      </x:c>
      <x:c r="N6" s="14" t="str">
        <x:v>Not Started</x:v>
      </x:c>
      <x:c r="O6" s="14" t="str">
        <x:v>Design</x:v>
      </x:c>
      <x:c r="P6" s="14" t="str">
        <x:v>Build Material 3 theme tokens for dark/light sports app UI.</x:v>
      </x:c>
      <x:c r="Q6" s="14" t="str"/>
    </x:row>
    <x:row r="7" ht="60" customHeight="1">
      <x:c r="A7" s="14" t="str">
        <x:v>T-006</x:v>
      </x:c>
      <x:c r="B7" s="14" t="n">
        <x:v>6</x:v>
      </x:c>
      <x:c r="C7" s="14" t="str">
        <x:v>Foundation</x:v>
      </x:c>
      <x:c r="D7" s="14" t="str">
        <x:v>导航</x:v>
      </x:c>
      <x:c r="E7" s="14" t="str">
        <x:v>P0</x:v>
      </x:c>
      <x:c r="F7" s="14" t="str">
        <x:v>Architecture</x:v>
      </x:c>
      <x:c r="G7" s="14" t="str">
        <x:v>配置路由与底部导航</x:v>
      </x:c>
      <x:c r="H7" s="14" t="str">
        <x:v>使用go_router实现首页、赛事、关注、我的、详情页、设置页路由。</x:v>
      </x:c>
      <x:c r="I7" s="14" t="str">
        <x:v>T-001</x:v>
      </x:c>
      <x:c r="J7" s="14" t="str">
        <x:v>AppRouter、ShellRoute</x:v>
      </x:c>
      <x:c r="K7" s="14" t="str">
        <x:v>路由跳转稳定；详情页支持matchId参数。</x:v>
      </x:c>
      <x:c r="L7" s="14" t="str">
        <x:v>Router unit/widget tests</x:v>
      </x:c>
      <x:c r="M7" s="14" t="str">
        <x:v>M</x:v>
      </x:c>
      <x:c r="N7" s="14" t="str">
        <x:v>Not Started</x:v>
      </x:c>
      <x:c r="O7" s="14" t="str">
        <x:v>Codex</x:v>
      </x:c>
      <x:c r="P7" s="14" t="str">
        <x:v>Set up go_router with bottom navigation and match detail route.</x:v>
      </x:c>
      <x:c r="Q7" s="14" t="str"/>
    </x:row>
    <x:row r="8" ht="60" customHeight="1">
      <x:c r="A8" s="14" t="str">
        <x:v>T-007</x:v>
      </x:c>
      <x:c r="B8" s="14" t="n">
        <x:v>7</x:v>
      </x:c>
      <x:c r="C8" s="14" t="str">
        <x:v>Foundation</x:v>
      </x:c>
      <x:c r="D8" s="14" t="str">
        <x:v>通用状态UI</x:v>
      </x:c>
      <x:c r="E8" s="14" t="str">
        <x:v>P0</x:v>
      </x:c>
      <x:c r="F8" s="14" t="str">
        <x:v>UI</x:v>
      </x:c>
      <x:c r="G8" s="14" t="str">
        <x:v>实现AsyncView/Skeleton/Empty/Error组件</x:v>
      </x:c>
      <x:c r="H8" s="14" t="str">
        <x:v>封装loading、empty、error、retry，供列表和详情复用。</x:v>
      </x:c>
      <x:c r="I8" s="14" t="str">
        <x:v>T-005</x:v>
      </x:c>
      <x:c r="J8" s="14" t="str">
        <x:v>AsyncView组件库</x:v>
      </x:c>
      <x:c r="K8" s="14" t="str">
        <x:v>核心页面不直接手写重复loading/error逻辑。</x:v>
      </x:c>
      <x:c r="L8" s="14" t="str">
        <x:v>Widget tests for loading/error/empty</x:v>
      </x:c>
      <x:c r="M8" s="14" t="str">
        <x:v>M</x:v>
      </x:c>
      <x:c r="N8" s="14" t="str">
        <x:v>Not Started</x:v>
      </x:c>
      <x:c r="O8" s="14" t="str">
        <x:v>Flutter</x:v>
      </x:c>
      <x:c r="P8" s="14" t="str">
        <x:v>Create reusable AsyncView, skeleton loader, empty state, error retry components.</x:v>
      </x:c>
      <x:c r="Q8" s="14" t="str"/>
    </x:row>
    <x:row r="9" ht="60" customHeight="1">
      <x:c r="A9" s="14" t="str">
        <x:v>T-008</x:v>
      </x:c>
      <x:c r="B9" s="14" t="n">
        <x:v>8</x:v>
      </x:c>
      <x:c r="C9" s="14" t="str">
        <x:v>Data Layer</x:v>
      </x:c>
      <x:c r="D9" s="14" t="str">
        <x:v>数据模型</x:v>
      </x:c>
      <x:c r="E9" s="14" t="str">
        <x:v>P0</x:v>
      </x:c>
      <x:c r="F9" s="14" t="str">
        <x:v>Data/API</x:v>
      </x:c>
      <x:c r="G9" s="14" t="str">
        <x:v>定义核心实体模型</x:v>
      </x:c>
      <x:c r="H9" s="14" t="str">
        <x:v>使用freezed定义SportType、League、Season、Team、Match、Score、MatchStatus、MatchEvent、Standing、Player。</x:v>
      </x:c>
      <x:c r="I9" s="14" t="str">
        <x:v>T-002</x:v>
      </x:c>
      <x:c r="J9" s="14" t="str">
        <x:v>model files + generated code</x:v>
      </x:c>
      <x:c r="K9" s="14" t="str">
        <x:v>JSON序列化通过；字段缺失安全处理。</x:v>
      </x:c>
      <x:c r="L9" s="14" t="str">
        <x:v>Model serialization unit tests</x:v>
      </x:c>
      <x:c r="M9" s="14" t="str">
        <x:v>L</x:v>
      </x:c>
      <x:c r="N9" s="14" t="str">
        <x:v>Not Started</x:v>
      </x:c>
      <x:c r="O9" s="14" t="str">
        <x:v>Codex</x:v>
      </x:c>
      <x:c r="P9" s="14" t="str">
        <x:v>Create freezed models for live sports app and JSON serialization.</x:v>
      </x:c>
      <x:c r="Q9" s="14" t="str"/>
    </x:row>
    <x:row r="10" ht="60" customHeight="1">
      <x:c r="A10" s="14" t="str">
        <x:v>T-009</x:v>
      </x:c>
      <x:c r="B10" s="14" t="n">
        <x:v>9</x:v>
      </x:c>
      <x:c r="C10" s="14" t="str">
        <x:v>Data Layer</x:v>
      </x:c>
      <x:c r="D10" s="14" t="str">
        <x:v>状态机</x:v>
      </x:c>
      <x:c r="E10" s="14" t="str">
        <x:v>P0</x:v>
      </x:c>
      <x:c r="F10" s="14" t="str">
        <x:v>Data/API</x:v>
      </x:c>
      <x:c r="G10" s="14" t="str">
        <x:v>实现比赛状态映射</x:v>
      </x:c>
      <x:c r="H10" s="14" t="str">
        <x:v>把供应商状态映射为scheduled/live/halfTime/fullTime/postponed/cancelled/suspended/unknown。</x:v>
      </x:c>
      <x:c r="I10" s="14" t="str">
        <x:v>T-008</x:v>
      </x:c>
      <x:c r="J10" s="14" t="str">
        <x:v>MatchStatusMapper</x:v>
      </x:c>
      <x:c r="K10" s="14" t="str">
        <x:v>所有已知状态可映射；未知状态不会导致崩溃。</x:v>
      </x:c>
      <x:c r="L10" s="14" t="str">
        <x:v>Unit tests for status mapping</x:v>
      </x:c>
      <x:c r="M10" s="14" t="str">
        <x:v>M</x:v>
      </x:c>
      <x:c r="N10" s="14" t="str">
        <x:v>Not Started</x:v>
      </x:c>
      <x:c r="O10" s="14" t="str">
        <x:v>Backend</x:v>
      </x:c>
      <x:c r="P10" s="14" t="str">
        <x:v>Implement robust MatchStatus mapping with tests.</x:v>
      </x:c>
      <x:c r="Q10" s="14" t="str"/>
    </x:row>
    <x:row r="11" ht="60" customHeight="1">
      <x:c r="A11" s="14" t="str">
        <x:v>T-010</x:v>
      </x:c>
      <x:c r="B11" s="14" t="n">
        <x:v>10</x:v>
      </x:c>
      <x:c r="C11" s="14" t="str">
        <x:v>Data Layer</x:v>
      </x:c>
      <x:c r="D11" s="14" t="str">
        <x:v>Mock数据</x:v>
      </x:c>
      <x:c r="E11" s="14" t="str">
        <x:v>P0</x:v>
      </x:c>
      <x:c r="F11" s="14" t="str">
        <x:v>Data/API</x:v>
      </x:c>
      <x:c r="G11" s="14" t="str">
        <x:v>构造Mock赛事数据集</x:v>
      </x:c>
      <x:c r="H11" s="14" t="str">
        <x:v>创建MockDataProvider，包含今日赛事、进行中比赛、事件、统计、积分榜、异常状态。</x:v>
      </x:c>
      <x:c r="I11" s="14" t="str">
        <x:v>T-008</x:v>
      </x:c>
      <x:c r="J11" s="14" t="str">
        <x:v>MockDataProvider</x:v>
      </x:c>
      <x:c r="K11" s="14" t="str">
        <x:v>不依赖后端即可跑通首页和详情；数据覆盖P0场景。</x:v>
      </x:c>
      <x:c r="L11" s="14" t="str">
        <x:v>Golden/widget tests can consume mock provider</x:v>
      </x:c>
      <x:c r="M11" s="14" t="str">
        <x:v>M</x:v>
      </x:c>
      <x:c r="N11" s="14" t="str">
        <x:v>Not Started</x:v>
      </x:c>
      <x:c r="O11" s="14" t="str">
        <x:v>Codex</x:v>
      </x:c>
      <x:c r="P11" s="14" t="str">
        <x:v>Create realistic mock data for fixtures, live scores, events, stats, standings.</x:v>
      </x:c>
      <x:c r="Q11" s="14" t="str"/>
    </x:row>
    <x:row r="12" ht="60" customHeight="1">
      <x:c r="A12" s="14" t="str">
        <x:v>T-011</x:v>
      </x:c>
      <x:c r="B12" s="14" t="n">
        <x:v>11</x:v>
      </x:c>
      <x:c r="C12" s="14" t="str">
        <x:v>Data Layer</x:v>
      </x:c>
      <x:c r="D12" s="14" t="str">
        <x:v>API客户端</x:v>
      </x:c>
      <x:c r="E12" s="14" t="str">
        <x:v>P0</x:v>
      </x:c>
      <x:c r="F12" s="14" t="str">
        <x:v>Data/API</x:v>
      </x:c>
      <x:c r="G12" s="14" t="str">
        <x:v>实现Dio REST客户端</x:v>
      </x:c>
      <x:c r="H12" s="14" t="str">
        <x:v>封装BaseApiClient、interceptor、timeout、错误码、重试策略、日志。</x:v>
      </x:c>
      <x:c r="I12" s="14" t="str">
        <x:v>T-004,T-008</x:v>
      </x:c>
      <x:c r="J12" s="14" t="str">
        <x:v>ApiClient</x:v>
      </x:c>
      <x:c r="K12" s="14" t="str">
        <x:v>接口错误统一返回DomainError；日志不泄漏密钥。</x:v>
      </x:c>
      <x:c r="L12" s="14" t="str">
        <x:v>Api client unit tests with mocked adapter</x:v>
      </x:c>
      <x:c r="M12" s="14" t="str">
        <x:v>M</x:v>
      </x:c>
      <x:c r="N12" s="14" t="str">
        <x:v>Not Started</x:v>
      </x:c>
      <x:c r="O12" s="14" t="str">
        <x:v>Backend</x:v>
      </x:c>
      <x:c r="P12" s="14" t="str">
        <x:v>Implement Dio API client with interceptors, timeout, and error handling.</x:v>
      </x:c>
      <x:c r="Q12" s="14" t="str"/>
    </x:row>
    <x:row r="13" ht="60" customHeight="1">
      <x:c r="A13" s="14" t="str">
        <x:v>T-012</x:v>
      </x:c>
      <x:c r="B13" s="14" t="n">
        <x:v>12</x:v>
      </x:c>
      <x:c r="C13" s="14" t="str">
        <x:v>Data Layer</x:v>
      </x:c>
      <x:c r="D13" s="14" t="str">
        <x:v>Repository抽象</x:v>
      </x:c>
      <x:c r="E13" s="14" t="str">
        <x:v>P0</x:v>
      </x:c>
      <x:c r="F13" s="14" t="str">
        <x:v>Architecture</x:v>
      </x:c>
      <x:c r="G13" s="14" t="str">
        <x:v>实现SportsRepository接口</x:v>
      </x:c>
      <x:c r="H13" s="14" t="str">
        <x:v>定义getFixtures、getMatchDetail、getEvents、getStats、getStandings、search等方法；支持Mock/Remote切换。</x:v>
      </x:c>
      <x:c r="I13" s="14" t="str">
        <x:v>T-010,T-011</x:v>
      </x:c>
      <x:c r="J13" s="14" t="str">
        <x:v>SportsRepository</x:v>
      </x:c>
      <x:c r="K13" s="14" t="str">
        <x:v>UI层只依赖repository，不直接调用Dio。</x:v>
      </x:c>
      <x:c r="L13" s="14" t="str">
        <x:v>Repository unit tests</x:v>
      </x:c>
      <x:c r="M13" s="14" t="str">
        <x:v>L</x:v>
      </x:c>
      <x:c r="N13" s="14" t="str">
        <x:v>Not Started</x:v>
      </x:c>
      <x:c r="O13" s="14" t="str">
        <x:v>Codex</x:v>
      </x:c>
      <x:c r="P13" s="14" t="str">
        <x:v>Create repository interfaces and implementations for mock and remote data.</x:v>
      </x:c>
      <x:c r="Q13" s="14" t="str"/>
    </x:row>
    <x:row r="14" ht="60" customHeight="1">
      <x:c r="A14" s="14" t="str">
        <x:v>T-013</x:v>
      </x:c>
      <x:c r="B14" s="14" t="n">
        <x:v>13</x:v>
      </x:c>
      <x:c r="C14" s="14" t="str">
        <x:v>Data Layer</x:v>
      </x:c>
      <x:c r="D14" s="14" t="str">
        <x:v>缓存</x:v>
      </x:c>
      <x:c r="E14" s="14" t="str">
        <x:v>P0</x:v>
      </x:c>
      <x:c r="F14" s="14" t="str">
        <x:v>State</x:v>
      </x:c>
      <x:c r="G14" s="14" t="str">
        <x:v>实现本地缓存与TTL</x:v>
      </x:c>
      <x:c r="H14" s="14" t="str">
        <x:v>使用Hive或SharedPreferences缓存fixtures、match detail、favorites、settings；标记lastUpdated。</x:v>
      </x:c>
      <x:c r="I14" s="14" t="str">
        <x:v>T-008,T-012</x:v>
      </x:c>
      <x:c r="J14" s="14" t="str">
        <x:v>CacheStore、TTL策略</x:v>
      </x:c>
      <x:c r="K14" s="14" t="str">
        <x:v>断网能展示最近缓存；过期数据有stale提示。</x:v>
      </x:c>
      <x:c r="L14" s="14" t="str">
        <x:v>Cache read/write unit tests</x:v>
      </x:c>
      <x:c r="M14" s="14" t="str">
        <x:v>L</x:v>
      </x:c>
      <x:c r="N14" s="14" t="str">
        <x:v>Not Started</x:v>
      </x:c>
      <x:c r="O14" s="14" t="str">
        <x:v>Flutter</x:v>
      </x:c>
      <x:c r="P14" s="14" t="str">
        <x:v>Implement local cache with TTL and stale data support.</x:v>
      </x:c>
      <x:c r="Q14" s="14" t="str"/>
    </x:row>
    <x:row r="15" ht="60" customHeight="1">
      <x:c r="A15" s="14" t="str">
        <x:v>T-014</x:v>
      </x:c>
      <x:c r="B15" s="14" t="n">
        <x:v>14</x:v>
      </x:c>
      <x:c r="C15" s="14" t="str">
        <x:v>Data Layer</x:v>
      </x:c>
      <x:c r="D15" s="14" t="str">
        <x:v>错误模型</x:v>
      </x:c>
      <x:c r="E15" s="14" t="str">
        <x:v>P0</x:v>
      </x:c>
      <x:c r="F15" s="14" t="str">
        <x:v>Data/API</x:v>
      </x:c>
      <x:c r="G15" s="14" t="str">
        <x:v>统一DomainError</x:v>
      </x:c>
      <x:c r="H15" s="14" t="str">
        <x:v>定义网络错误、解析错误、权限错误、限流、未知错误，并映射到UI文案。</x:v>
      </x:c>
      <x:c r="I15" s="14" t="str">
        <x:v>T-011</x:v>
      </x:c>
      <x:c r="J15" s="14" t="str">
        <x:v>DomainError、ErrorPresenter</x:v>
      </x:c>
      <x:c r="K15" s="14" t="str">
        <x:v>错误可读、可重试、可埋点。</x:v>
      </x:c>
      <x:c r="L15" s="14" t="str">
        <x:v>Unit tests for error mapping</x:v>
      </x:c>
      <x:c r="M15" s="14" t="str">
        <x:v>S</x:v>
      </x:c>
      <x:c r="N15" s="14" t="str">
        <x:v>Not Started</x:v>
      </x:c>
      <x:c r="O15" s="14" t="str">
        <x:v>Flutter</x:v>
      </x:c>
      <x:c r="P15" s="14" t="str">
        <x:v>Add domain error model and UI-friendly error messages.</x:v>
      </x:c>
      <x:c r="Q15" s="14" t="str"/>
    </x:row>
    <x:row r="16" ht="60" customHeight="1">
      <x:c r="A16" s="14" t="str">
        <x:v>T-015</x:v>
      </x:c>
      <x:c r="B16" s="14" t="n">
        <x:v>15</x:v>
      </x:c>
      <x:c r="C16" s="14" t="str">
        <x:v>Realtime</x:v>
      </x:c>
      <x:c r="D16" s="14" t="str">
        <x:v>实时通信</x:v>
      </x:c>
      <x:c r="E16" s="14" t="str">
        <x:v>P0</x:v>
      </x:c>
      <x:c r="F16" s="14" t="str">
        <x:v>Realtime</x:v>
      </x:c>
      <x:c r="G16" s="14" t="str">
        <x:v>实现WebSocket连接管理</x:v>
      </x:c>
      <x:c r="H16" s="14" t="str">
        <x:v>封装connect、disconnect、subscribeMatch、subscribeList、message stream、connection state。</x:v>
      </x:c>
      <x:c r="I16" s="14" t="str">
        <x:v>T-004,T-008</x:v>
      </x:c>
      <x:c r="J16" s="14" t="str">
        <x:v>RealtimeService</x:v>
      </x:c>
      <x:c r="K16" s="14" t="str">
        <x:v>可订阅matchId并收到mock/真实事件；断开后状态更新。</x:v>
      </x:c>
      <x:c r="L16" s="14" t="str">
        <x:v>Realtime service tests with fake socket</x:v>
      </x:c>
      <x:c r="M16" s="14" t="str">
        <x:v>L</x:v>
      </x:c>
      <x:c r="N16" s="14" t="str">
        <x:v>Not Started</x:v>
      </x:c>
      <x:c r="O16" s="14" t="str">
        <x:v>Codex</x:v>
      </x:c>
      <x:c r="P16" s="14" t="str">
        <x:v>Implement WebSocket service abstraction with connection state streams.</x:v>
      </x:c>
      <x:c r="Q16" s="14" t="str"/>
    </x:row>
    <x:row r="17" ht="60" customHeight="1">
      <x:c r="A17" s="14" t="str">
        <x:v>T-016</x:v>
      </x:c>
      <x:c r="B17" s="14" t="n">
        <x:v>16</x:v>
      </x:c>
      <x:c r="C17" s="14" t="str">
        <x:v>Realtime</x:v>
      </x:c>
      <x:c r="D17" s="14" t="str">
        <x:v>实时通信</x:v>
      </x:c>
      <x:c r="E17" s="14" t="str">
        <x:v>P0</x:v>
      </x:c>
      <x:c r="F17" s="14" t="str">
        <x:v>Realtime</x:v>
      </x:c>
      <x:c r="G17" s="14" t="str">
        <x:v>心跳与自动重连</x:v>
      </x:c>
      <x:c r="H17" s="14" t="str">
        <x:v>实现ping/pong、指数退避、最大重试、前后台切换重新订阅。</x:v>
      </x:c>
      <x:c r="I17" s="14" t="str">
        <x:v>T-015</x:v>
      </x:c>
      <x:c r="J17" s="14" t="str">
        <x:v>ReconnectPolicy</x:v>
      </x:c>
      <x:c r="K17" s="14" t="str">
        <x:v>断网恢复后自动重连；不会无限高频重试。</x:v>
      </x:c>
      <x:c r="L17" s="14" t="str">
        <x:v>Unit tests for backoff policy</x:v>
      </x:c>
      <x:c r="M17" s="14" t="str">
        <x:v>M</x:v>
      </x:c>
      <x:c r="N17" s="14" t="str">
        <x:v>Not Started</x:v>
      </x:c>
      <x:c r="O17" s="14" t="str">
        <x:v>Codex</x:v>
      </x:c>
      <x:c r="P17" s="14" t="str">
        <x:v>Add heartbeat and exponential backoff reconnect policy.</x:v>
      </x:c>
      <x:c r="Q17" s="14" t="str"/>
    </x:row>
    <x:row r="18" ht="60" customHeight="1">
      <x:c r="A18" s="14" t="str">
        <x:v>T-017</x:v>
      </x:c>
      <x:c r="B18" s="14" t="n">
        <x:v>17</x:v>
      </x:c>
      <x:c r="C18" s="14" t="str">
        <x:v>Realtime</x:v>
      </x:c>
      <x:c r="D18" s="14" t="str">
        <x:v>实时通信</x:v>
      </x:c>
      <x:c r="E18" s="14" t="str">
        <x:v>P0</x:v>
      </x:c>
      <x:c r="F18" s="14" t="str">
        <x:v>Realtime</x:v>
      </x:c>
      <x:c r="G18" s="14" t="str">
        <x:v>事件去重与乱序处理</x:v>
      </x:c>
      <x:c r="H18" s="14" t="str">
        <x:v>基于eventId/sequence/serverTime去重；乱序时按minute和sequence排序；支持撤销/修正事件。</x:v>
      </x:c>
      <x:c r="I18" s="14" t="str">
        <x:v>T-015,T-008</x:v>
      </x:c>
      <x:c r="J18" s="14" t="str">
        <x:v>EventDeduper、EventReducer</x:v>
      </x:c>
      <x:c r="K18" s="14" t="str">
        <x:v>重复消息不会重复进球；乱序事件最终排序正确。</x:v>
      </x:c>
      <x:c r="L18" s="14" t="str">
        <x:v>Reducer unit tests</x:v>
      </x:c>
      <x:c r="M18" s="14" t="str">
        <x:v>L</x:v>
      </x:c>
      <x:c r="N18" s="14" t="str">
        <x:v>Not Started</x:v>
      </x:c>
      <x:c r="O18" s="14" t="str">
        <x:v>Backend</x:v>
      </x:c>
      <x:c r="P18" s="14" t="str">
        <x:v>Implement event reducer for dedupe, out-of-order events, and corrections.</x:v>
      </x:c>
      <x:c r="Q18" s="14" t="str"/>
    </x:row>
    <x:row r="19" ht="60" customHeight="1">
      <x:c r="A19" s="14" t="str">
        <x:v>T-018</x:v>
      </x:c>
      <x:c r="B19" s="14" t="n">
        <x:v>18</x:v>
      </x:c>
      <x:c r="C19" s="14" t="str">
        <x:v>Realtime</x:v>
      </x:c>
      <x:c r="D19" s="14" t="str">
        <x:v>实时通信</x:v>
      </x:c>
      <x:c r="E19" s="14" t="str">
        <x:v>P0</x:v>
      </x:c>
      <x:c r="F19" s="14" t="str">
        <x:v>State</x:v>
      </x:c>
      <x:c r="G19" s="14" t="str">
        <x:v>实时数据合并到Provider</x:v>
      </x:c>
      <x:c r="H19" s="14" t="str">
        <x:v>把WS事件合并进MatchListProvider和MatchDetailProvider，保证列表与详情一致。</x:v>
      </x:c>
      <x:c r="I19" s="14" t="str">
        <x:v>T-012,T-015,T-017</x:v>
      </x:c>
      <x:c r="J19" s="14" t="str">
        <x:v>Riverpod providers</x:v>
      </x:c>
      <x:c r="K19" s="14" t="str">
        <x:v>列表卡片与详情比分同步；离开页面取消订阅。</x:v>
      </x:c>
      <x:c r="L19" s="14" t="str">
        <x:v>Provider tests</x:v>
      </x:c>
      <x:c r="M19" s="14" t="str">
        <x:v>L</x:v>
      </x:c>
      <x:c r="N19" s="14" t="str">
        <x:v>Not Started</x:v>
      </x:c>
      <x:c r="O19" s="14" t="str">
        <x:v>Flutter</x:v>
      </x:c>
      <x:c r="P19" s="14" t="str">
        <x:v>Wire realtime updates into Riverpod providers for list and detail.</x:v>
      </x:c>
      <x:c r="Q19" s="14" t="str"/>
    </x:row>
    <x:row r="20" ht="60" customHeight="1">
      <x:c r="A20" s="14" t="str">
        <x:v>T-019</x:v>
      </x:c>
      <x:c r="B20" s="14" t="n">
        <x:v>19</x:v>
      </x:c>
      <x:c r="C20" s="14" t="str">
        <x:v>Realtime</x:v>
      </x:c>
      <x:c r="D20" s="14" t="str">
        <x:v>实时通信</x:v>
      </x:c>
      <x:c r="E20" s="14" t="str">
        <x:v>P0</x:v>
      </x:c>
      <x:c r="F20" s="14" t="str">
        <x:v>UI</x:v>
      </x:c>
      <x:c r="G20" s="14" t="str">
        <x:v>连接状态与弱网提示</x:v>
      </x:c>
      <x:c r="H20" s="14" t="str">
        <x:v>展示connected/reconnecting/offline/stale状态，提供手动刷新。</x:v>
      </x:c>
      <x:c r="I20" s="14" t="str">
        <x:v>T-016,T-018,T-007</x:v>
      </x:c>
      <x:c r="J20" s="14" t="str">
        <x:v>ConnectionBanner、StaleBadge</x:v>
      </x:c>
      <x:c r="K20" s="14" t="str">
        <x:v>断网可见提示；恢复后提示消失。</x:v>
      </x:c>
      <x:c r="L20" s="14" t="str">
        <x:v>Widget tests</x:v>
      </x:c>
      <x:c r="M20" s="14" t="str">
        <x:v>M</x:v>
      </x:c>
      <x:c r="N20" s="14" t="str">
        <x:v>Not Started</x:v>
      </x:c>
      <x:c r="O20" s="14" t="str">
        <x:v>Flutter</x:v>
      </x:c>
      <x:c r="P20" s="14" t="str">
        <x:v>Build connection status banner and stale data indicators.</x:v>
      </x:c>
      <x:c r="Q20" s="14" t="str"/>
    </x:row>
    <x:row r="21" ht="60" customHeight="1">
      <x:c r="A21" s="14" t="str">
        <x:v>T-020</x:v>
      </x:c>
      <x:c r="B21" s="14" t="n">
        <x:v>20</x:v>
      </x:c>
      <x:c r="C21" s="14" t="str">
        <x:v>Realtime</x:v>
      </x:c>
      <x:c r="D21" s="14" t="str">
        <x:v>实时通信</x:v>
      </x:c>
      <x:c r="E21" s="14" t="str">
        <x:v>P1</x:v>
      </x:c>
      <x:c r="F21" s="14" t="str">
        <x:v>Analytics</x:v>
      </x:c>
      <x:c r="G21" s="14" t="str">
        <x:v>实时延迟埋点</x:v>
      </x:c>
      <x:c r="H21" s="14" t="str">
        <x:v>记录从serverTime到UI渲染的延迟、重连次数、丢包/重复事件数。</x:v>
      </x:c>
      <x:c r="I21" s="14" t="str">
        <x:v>T-015,T-017</x:v>
      </x:c>
      <x:c r="J21" s="14" t="str">
        <x:v>RealtimeMetrics</x:v>
      </x:c>
      <x:c r="K21" s="14" t="str">
        <x:v>能在日志/埋点看到ws latency和reconnect count。</x:v>
      </x:c>
      <x:c r="L21" s="14" t="str">
        <x:v>Unit tests for metric calculation</x:v>
      </x:c>
      <x:c r="M21" s="14" t="str">
        <x:v>S</x:v>
      </x:c>
      <x:c r="N21" s="14" t="str">
        <x:v>Not Started</x:v>
      </x:c>
      <x:c r="O21" s="14" t="str">
        <x:v>Analytics</x:v>
      </x:c>
      <x:c r="P21" s="14" t="str">
        <x:v>Add telemetry hooks for websocket latency and reconnect metrics.</x:v>
      </x:c>
      <x:c r="Q21" s="14" t="str"/>
    </x:row>
    <x:row r="22" ht="60" customHeight="1">
      <x:c r="A22" s="14" t="str">
        <x:v>T-021</x:v>
      </x:c>
      <x:c r="B22" s="14" t="n">
        <x:v>21</x:v>
      </x:c>
      <x:c r="C22" s="14" t="str">
        <x:v>UI Pages</x:v>
      </x:c>
      <x:c r="D22" s="14" t="str">
        <x:v>首页</x:v>
      </x:c>
      <x:c r="E22" s="14" t="str">
        <x:v>P0</x:v>
      </x:c>
      <x:c r="F22" s="14" t="str">
        <x:v>UI</x:v>
      </x:c>
      <x:c r="G22" s="14" t="str">
        <x:v>实现首页框架</x:v>
      </x:c>
      <x:c r="H22" s="14" t="str">
        <x:v>顶部tab、日期筛选、赛事分组、底部导航接入。</x:v>
      </x:c>
      <x:c r="I22" s="14" t="str">
        <x:v>T-005,T-006,T-007</x:v>
      </x:c>
      <x:c r="J22" s="14" t="str">
        <x:v>HomePage</x:v>
      </x:c>
      <x:c r="K22" s="14" t="str">
        <x:v>首页在mock数据下可完整展示。</x:v>
      </x:c>
      <x:c r="L22" s="14" t="str">
        <x:v>Widget/golden tests</x:v>
      </x:c>
      <x:c r="M22" s="14" t="str">
        <x:v>L</x:v>
      </x:c>
      <x:c r="N22" s="14" t="str">
        <x:v>Not Started</x:v>
      </x:c>
      <x:c r="O22" s="14" t="str">
        <x:v>Flutter</x:v>
      </x:c>
      <x:c r="P22" s="14" t="str">
        <x:v>Implement HomePage with sport tabs, date selector, grouped match list.</x:v>
      </x:c>
      <x:c r="Q22" s="14" t="str"/>
    </x:row>
    <x:row r="23" ht="60" customHeight="1">
      <x:c r="A23" s="14" t="str">
        <x:v>T-022</x:v>
      </x:c>
      <x:c r="B23" s="14" t="n">
        <x:v>22</x:v>
      </x:c>
      <x:c r="C23" s="14" t="str">
        <x:v>UI Pages</x:v>
      </x:c>
      <x:c r="D23" s="14" t="str">
        <x:v>首页</x:v>
      </x:c>
      <x:c r="E23" s="14" t="str">
        <x:v>P0</x:v>
      </x:c>
      <x:c r="F23" s="14" t="str">
        <x:v>UI</x:v>
      </x:c>
      <x:c r="G23" s="14" t="str">
        <x:v>实现比赛卡片组件</x:v>
      </x:c>
      <x:c r="H23" s="14" t="str">
        <x:v>展示联赛、时间/状态、主客队、比分、红牌、收藏、live标识。</x:v>
      </x:c>
      <x:c r="I23" s="14" t="str">
        <x:v>T-008,T-005</x:v>
      </x:c>
      <x:c r="J23" s="14" t="str">
        <x:v>MatchCard</x:v>
      </x:c>
      <x:c r="K23" s="14" t="str">
        <x:v>scheduled/live/finished/cancelled状态展示正确。</x:v>
      </x:c>
      <x:c r="L23" s="14" t="str">
        <x:v>Golden tests for statuses</x:v>
      </x:c>
      <x:c r="M23" s="14" t="str">
        <x:v>M</x:v>
      </x:c>
      <x:c r="N23" s="14" t="str">
        <x:v>Not Started</x:v>
      </x:c>
      <x:c r="O23" s="14" t="str">
        <x:v>Flutter</x:v>
      </x:c>
      <x:c r="P23" s="14" t="str">
        <x:v>Build reusable MatchCard with status badge and favorite action.</x:v>
      </x:c>
      <x:c r="Q23" s="14" t="str"/>
    </x:row>
    <x:row r="24" ht="60" customHeight="1">
      <x:c r="A24" s="14" t="str">
        <x:v>T-023</x:v>
      </x:c>
      <x:c r="B24" s="14" t="n">
        <x:v>23</x:v>
      </x:c>
      <x:c r="C24" s="14" t="str">
        <x:v>UI Pages</x:v>
      </x:c>
      <x:c r="D24" s="14" t="str">
        <x:v>首页</x:v>
      </x:c>
      <x:c r="E24" s="14" t="str">
        <x:v>P0</x:v>
      </x:c>
      <x:c r="F24" s="14" t="str">
        <x:v>State</x:v>
      </x:c>
      <x:c r="G24" s="14" t="str">
        <x:v>实现赛事列表Provider</x:v>
      </x:c>
      <x:c r="H24" s="14" t="str">
        <x:v>按日期、运动类型、状态筛选；支持刷新、缓存、实时合并。</x:v>
      </x:c>
      <x:c r="I24" s="14" t="str">
        <x:v>T-012,T-013,T-018</x:v>
      </x:c>
      <x:c r="J24" s="14" t="str">
        <x:v>FixtureListProvider</x:v>
      </x:c>
      <x:c r="K24" s="14" t="str">
        <x:v>切换日期/分类刷新正确；错误可重试。</x:v>
      </x:c>
      <x:c r="L24" s="14" t="str">
        <x:v>Provider tests</x:v>
      </x:c>
      <x:c r="M24" s="14" t="str">
        <x:v>L</x:v>
      </x:c>
      <x:c r="N24" s="14" t="str">
        <x:v>Not Started</x:v>
      </x:c>
      <x:c r="O24" s="14" t="str">
        <x:v>Flutter</x:v>
      </x:c>
      <x:c r="P24" s="14" t="str">
        <x:v>Create Riverpod provider for fixture list with filters and refresh.</x:v>
      </x:c>
      <x:c r="Q24" s="14" t="str"/>
    </x:row>
    <x:row r="25" ht="60" customHeight="1">
      <x:c r="A25" s="14" t="str">
        <x:v>T-024</x:v>
      </x:c>
      <x:c r="B25" s="14" t="n">
        <x:v>24</x:v>
      </x:c>
      <x:c r="C25" s="14" t="str">
        <x:v>UI Pages</x:v>
      </x:c>
      <x:c r="D25" s="14" t="str">
        <x:v>首页</x:v>
      </x:c>
      <x:c r="E25" s="14" t="str">
        <x:v>P0</x:v>
      </x:c>
      <x:c r="F25" s="14" t="str">
        <x:v>UI</x:v>
      </x:c>
      <x:c r="G25" s="14" t="str">
        <x:v>首页排序与分组</x:v>
      </x:c>
      <x:c r="H25" s="14" t="str">
        <x:v>关注优先、进行中优先、按开赛时间排序；分组标题：正在进行/即将开始/已完场。</x:v>
      </x:c>
      <x:c r="I25" s="14" t="str">
        <x:v>T-021,T-023</x:v>
      </x:c>
      <x:c r="J25" s="14" t="str">
        <x:v>Fixture grouping logic</x:v>
      </x:c>
      <x:c r="K25" s="14" t="str">
        <x:v>排序符合规则；分组为空时隐藏。</x:v>
      </x:c>
      <x:c r="L25" s="14" t="str">
        <x:v>Unit tests for sorting/grouping</x:v>
      </x:c>
      <x:c r="M25" s="14" t="str">
        <x:v>M</x:v>
      </x:c>
      <x:c r="N25" s="14" t="str">
        <x:v>Not Started</x:v>
      </x:c>
      <x:c r="O25" s="14" t="str">
        <x:v>Flutter</x:v>
      </x:c>
      <x:c r="P25" s="14" t="str">
        <x:v>Implement fixture sorting/grouping rules for home feed.</x:v>
      </x:c>
      <x:c r="Q25" s="14" t="str"/>
    </x:row>
    <x:row r="26" ht="60" customHeight="1">
      <x:c r="A26" s="14" t="str">
        <x:v>T-025</x:v>
      </x:c>
      <x:c r="B26" s="14" t="n">
        <x:v>25</x:v>
      </x:c>
      <x:c r="C26" s="14" t="str">
        <x:v>UI Pages</x:v>
      </x:c>
      <x:c r="D26" s="14" t="str">
        <x:v>首页</x:v>
      </x:c>
      <x:c r="E26" s="14" t="str">
        <x:v>P0</x:v>
      </x:c>
      <x:c r="F26" s="14" t="str">
        <x:v>UI</x:v>
      </x:c>
      <x:c r="G26" s="14" t="str">
        <x:v>下拉刷新与手动重试</x:v>
      </x:c>
      <x:c r="H26" s="14" t="str">
        <x:v>RefreshIndicator拉取REST快照，失败时保留旧数据并提示。</x:v>
      </x:c>
      <x:c r="I26" s="14" t="str">
        <x:v>T-021,T-023,T-014</x:v>
      </x:c>
      <x:c r="J26" s="14" t="str">
        <x:v>Refresh behavior</x:v>
      </x:c>
      <x:c r="K26" s="14" t="str">
        <x:v>刷新失败不清空旧列表；可重试。</x:v>
      </x:c>
      <x:c r="L26" s="14" t="str">
        <x:v>Widget tests</x:v>
      </x:c>
      <x:c r="M26" s="14" t="str">
        <x:v>S</x:v>
      </x:c>
      <x:c r="N26" s="14" t="str">
        <x:v>Not Started</x:v>
      </x:c>
      <x:c r="O26" s="14" t="str">
        <x:v>Flutter</x:v>
      </x:c>
      <x:c r="P26" s="14" t="str">
        <x:v>Add pull-to-refresh and retry behavior preserving cached data.</x:v>
      </x:c>
      <x:c r="Q26" s="14" t="str"/>
    </x:row>
    <x:row r="27" ht="60" customHeight="1">
      <x:c r="A27" s="14" t="str">
        <x:v>T-026</x:v>
      </x:c>
      <x:c r="B27" s="14" t="n">
        <x:v>26</x:v>
      </x:c>
      <x:c r="C27" s="14" t="str">
        <x:v>UI Pages</x:v>
      </x:c>
      <x:c r="D27" s="14" t="str">
        <x:v>首页</x:v>
      </x:c>
      <x:c r="E27" s="14" t="str">
        <x:v>P1</x:v>
      </x:c>
      <x:c r="F27" s="14" t="str">
        <x:v>UI</x:v>
      </x:c>
      <x:c r="G27" s="14" t="str">
        <x:v>推荐Banner/焦点比赛</x:v>
      </x:c>
      <x:c r="H27" s="14" t="str">
        <x:v>展示一场重点比赛或关注比赛，MVP可用mock配置。</x:v>
      </x:c>
      <x:c r="I27" s="14" t="str">
        <x:v>T-021</x:v>
      </x:c>
      <x:c r="J27" s="14" t="str">
        <x:v>FeaturedMatchBanner</x:v>
      </x:c>
      <x:c r="K27" s="14" t="str">
        <x:v>有焦点比赛时显示，无则隐藏。</x:v>
      </x:c>
      <x:c r="L27" s="14" t="str">
        <x:v>Widget tests</x:v>
      </x:c>
      <x:c r="M27" s="14" t="str">
        <x:v>S</x:v>
      </x:c>
      <x:c r="N27" s="14" t="str">
        <x:v>Not Started</x:v>
      </x:c>
      <x:c r="O27" s="14" t="str">
        <x:v>Design</x:v>
      </x:c>
      <x:c r="P27" s="14" t="str">
        <x:v>Add optional featured match banner on home page.</x:v>
      </x:c>
      <x:c r="Q27" s="14" t="str"/>
    </x:row>
    <x:row r="28" ht="60" customHeight="1">
      <x:c r="A28" s="14" t="str">
        <x:v>T-027</x:v>
      </x:c>
      <x:c r="B28" s="14" t="n">
        <x:v>27</x:v>
      </x:c>
      <x:c r="C28" s="14" t="str">
        <x:v>UI Pages</x:v>
      </x:c>
      <x:c r="D28" s="14" t="str">
        <x:v>详情页</x:v>
      </x:c>
      <x:c r="E28" s="14" t="str">
        <x:v>P0</x:v>
      </x:c>
      <x:c r="F28" s="14" t="str">
        <x:v>UI</x:v>
      </x:c>
      <x:c r="G28" s="14" t="str">
        <x:v>实现比赛详情页框架</x:v>
      </x:c>
      <x:c r="H28" s="14" t="str">
        <x:v>头部比分、关注、分享入口、TabBar：事件/数据/阵容/资讯。</x:v>
      </x:c>
      <x:c r="I28" s="14" t="str">
        <x:v>T-006,T-008,T-012</x:v>
      </x:c>
      <x:c r="J28" s="14" t="str">
        <x:v>MatchDetailPage</x:v>
      </x:c>
      <x:c r="K28" s="14" t="str">
        <x:v>从列表点击可进入详情；返回保持列表状态。</x:v>
      </x:c>
      <x:c r="L28" s="14" t="str">
        <x:v>Navigation/widget tests</x:v>
      </x:c>
      <x:c r="M28" s="14" t="str">
        <x:v>L</x:v>
      </x:c>
      <x:c r="N28" s="14" t="str">
        <x:v>Not Started</x:v>
      </x:c>
      <x:c r="O28" s="14" t="str">
        <x:v>Flutter</x:v>
      </x:c>
      <x:c r="P28" s="14" t="str">
        <x:v>Build MatchDetailPage shell with header and tabs.</x:v>
      </x:c>
      <x:c r="Q28" s="14" t="str"/>
    </x:row>
    <x:row r="29" ht="60" customHeight="1">
      <x:c r="A29" s="14" t="str">
        <x:v>T-028</x:v>
      </x:c>
      <x:c r="B29" s="14" t="n">
        <x:v>28</x:v>
      </x:c>
      <x:c r="C29" s="14" t="str">
        <x:v>UI Pages</x:v>
      </x:c>
      <x:c r="D29" s="14" t="str">
        <x:v>详情页</x:v>
      </x:c>
      <x:c r="E29" s="14" t="str">
        <x:v>P0</x:v>
      </x:c>
      <x:c r="F29" s="14" t="str">
        <x:v>State</x:v>
      </x:c>
      <x:c r="G29" s="14" t="str">
        <x:v>实现详情Provider</x:v>
      </x:c>
      <x:c r="H29" s="14" t="str">
        <x:v>加载match detail、events、stats；订阅实时事件；退出取消订阅。</x:v>
      </x:c>
      <x:c r="I29" s="14" t="str">
        <x:v>T-018,T-027</x:v>
      </x:c>
      <x:c r="J29" s="14" t="str">
        <x:v>MatchDetailProvider</x:v>
      </x:c>
      <x:c r="K29" s="14" t="str">
        <x:v>详情比分、事件、统计刷新一致。</x:v>
      </x:c>
      <x:c r="L29" s="14" t="str">
        <x:v>Provider tests</x:v>
      </x:c>
      <x:c r="M29" s="14" t="str">
        <x:v>L</x:v>
      </x:c>
      <x:c r="N29" s="14" t="str">
        <x:v>Not Started</x:v>
      </x:c>
      <x:c r="O29" s="14" t="str">
        <x:v>Flutter</x:v>
      </x:c>
      <x:c r="P29" s="14" t="str">
        <x:v>Create MatchDetailProvider combining REST snapshot and realtime stream.</x:v>
      </x:c>
      <x:c r="Q29" s="14" t="str"/>
    </x:row>
    <x:row r="30" ht="60" customHeight="1">
      <x:c r="A30" s="14" t="str">
        <x:v>T-029</x:v>
      </x:c>
      <x:c r="B30" s="14" t="n">
        <x:v>29</x:v>
      </x:c>
      <x:c r="C30" s="14" t="str">
        <x:v>UI Pages</x:v>
      </x:c>
      <x:c r="D30" s="14" t="str">
        <x:v>详情页</x:v>
      </x:c>
      <x:c r="E30" s="14" t="str">
        <x:v>P0</x:v>
      </x:c>
      <x:c r="F30" s="14" t="str">
        <x:v>UI</x:v>
      </x:c>
      <x:c r="G30" s="14" t="str">
        <x:v>详情头部比分组件</x:v>
      </x:c>
      <x:c r="H30" s="14" t="str">
        <x:v>展示联赛轮次、开赛时间、状态、主客队logo、比分、关注按钮。</x:v>
      </x:c>
      <x:c r="I30" s="14" t="str">
        <x:v>T-027,T-005</x:v>
      </x:c>
      <x:c r="J30" s="14" t="str">
        <x:v>MatchDetailHeader</x:v>
      </x:c>
      <x:c r="K30" s="14" t="str">
        <x:v>不同状态显示正确；长队名不溢出。</x:v>
      </x:c>
      <x:c r="L30" s="14" t="str">
        <x:v>Golden tests</x:v>
      </x:c>
      <x:c r="M30" s="14" t="str">
        <x:v>M</x:v>
      </x:c>
      <x:c r="N30" s="14" t="str">
        <x:v>Not Started</x:v>
      </x:c>
      <x:c r="O30" s="14" t="str">
        <x:v>Flutter</x:v>
      </x:c>
      <x:c r="P30" s="14" t="str">
        <x:v>Implement match detail header with responsive team/score layout.</x:v>
      </x:c>
      <x:c r="Q30" s="14" t="str"/>
    </x:row>
    <x:row r="31" ht="60" customHeight="1">
      <x:c r="A31" s="14" t="str">
        <x:v>T-030</x:v>
      </x:c>
      <x:c r="B31" s="14" t="n">
        <x:v>30</x:v>
      </x:c>
      <x:c r="C31" s="14" t="str">
        <x:v>UI Pages</x:v>
      </x:c>
      <x:c r="D31" s="14" t="str">
        <x:v>事件</x:v>
      </x:c>
      <x:c r="E31" s="14" t="str">
        <x:v>P0</x:v>
      </x:c>
      <x:c r="F31" s="14" t="str">
        <x:v>UI</x:v>
      </x:c>
      <x:c r="G31" s="14" t="str">
        <x:v>实现事件时间线</x:v>
      </x:c>
      <x:c r="H31" s="14" t="str">
        <x:v>按分钟显示进球、黄牌、红牌、换人、VAR、半场/全场节点。</x:v>
      </x:c>
      <x:c r="I31" s="14" t="str">
        <x:v>T-008,T-017,T-028</x:v>
      </x:c>
      <x:c r="J31" s="14" t="str">
        <x:v>EventTimeline</x:v>
      </x:c>
      <x:c r="K31" s="14" t="str">
        <x:v>事件顺序正确；主客队左右区分；空状态明确。</x:v>
      </x:c>
      <x:c r="L31" s="14" t="str">
        <x:v>Widget tests for event types</x:v>
      </x:c>
      <x:c r="M31" s="14" t="str">
        <x:v>L</x:v>
      </x:c>
      <x:c r="N31" s="14" t="str">
        <x:v>Not Started</x:v>
      </x:c>
      <x:c r="O31" s="14" t="str">
        <x:v>Flutter</x:v>
      </x:c>
      <x:c r="P31" s="14" t="str">
        <x:v>Build event timeline UI with football event icons and team alignment.</x:v>
      </x:c>
      <x:c r="Q31" s="14" t="str"/>
    </x:row>
    <x:row r="32" ht="60" customHeight="1">
      <x:c r="A32" s="14" t="str">
        <x:v>T-031</x:v>
      </x:c>
      <x:c r="B32" s="14" t="n">
        <x:v>31</x:v>
      </x:c>
      <x:c r="C32" s="14" t="str">
        <x:v>UI Pages</x:v>
      </x:c>
      <x:c r="D32" s="14" t="str">
        <x:v>事件</x:v>
      </x:c>
      <x:c r="E32" s="14" t="str">
        <x:v>P0</x:v>
      </x:c>
      <x:c r="F32" s="14" t="str">
        <x:v>State</x:v>
      </x:c>
      <x:c r="G32" s="14" t="str">
        <x:v>比分事件联动</x:v>
      </x:c>
      <x:c r="H32" s="14" t="str">
        <x:v>进球/取消进球事件影响比分和时间线展示；修正事件可回滚。</x:v>
      </x:c>
      <x:c r="I32" s="14" t="str">
        <x:v>T-017,T-030</x:v>
      </x:c>
      <x:c r="J32" s="14" t="str">
        <x:v>Score reducer integration</x:v>
      </x:c>
      <x:c r="K32" s="14" t="str">
        <x:v>重复/撤销事件比分正确。</x:v>
      </x:c>
      <x:c r="L32" s="14" t="str">
        <x:v>Reducer integration tests</x:v>
      </x:c>
      <x:c r="M32" s="14" t="str">
        <x:v>L</x:v>
      </x:c>
      <x:c r="N32" s="14" t="str">
        <x:v>Not Started</x:v>
      </x:c>
      <x:c r="O32" s="14" t="str">
        <x:v>Backend</x:v>
      </x:c>
      <x:c r="P32" s="14" t="str">
        <x:v>Integrate score reducer with timeline events for goals and corrections.</x:v>
      </x:c>
      <x:c r="Q32" s="14" t="str"/>
    </x:row>
    <x:row r="33" ht="60" customHeight="1">
      <x:c r="A33" s="14" t="str">
        <x:v>T-032</x:v>
      </x:c>
      <x:c r="B33" s="14" t="n">
        <x:v>32</x:v>
      </x:c>
      <x:c r="C33" s="14" t="str">
        <x:v>UI Pages</x:v>
      </x:c>
      <x:c r="D33" s="14" t="str">
        <x:v>统计</x:v>
      </x:c>
      <x:c r="E33" s="14" t="str">
        <x:v>P0</x:v>
      </x:c>
      <x:c r="F33" s="14" t="str">
        <x:v>UI</x:v>
      </x:c>
      <x:c r="G33" s="14" t="str">
        <x:v>实现比赛统计Tab</x:v>
      </x:c>
      <x:c r="H33" s="14" t="str">
        <x:v>控球率、射门、射正、角球、犯规、越位等双向比例条。</x:v>
      </x:c>
      <x:c r="I33" s="14" t="str">
        <x:v>T-008,T-028,T-005</x:v>
      </x:c>
      <x:c r="J33" s="14" t="str">
        <x:v>StatsTab</x:v>
      </x:c>
      <x:c r="K33" s="14" t="str">
        <x:v>缺失字段安全占位；数值显示格式正确。</x:v>
      </x:c>
      <x:c r="L33" s="14" t="str">
        <x:v>Widget/golden tests</x:v>
      </x:c>
      <x:c r="M33" s="14" t="str">
        <x:v>M</x:v>
      </x:c>
      <x:c r="N33" s="14" t="str">
        <x:v>Not Started</x:v>
      </x:c>
      <x:c r="O33" s="14" t="str">
        <x:v>Flutter</x:v>
      </x:c>
      <x:c r="P33" s="14" t="str">
        <x:v>Implement match statistics tab with paired bars.</x:v>
      </x:c>
      <x:c r="Q33" s="14" t="str"/>
    </x:row>
    <x:row r="34" ht="60" customHeight="1">
      <x:c r="A34" s="14" t="str">
        <x:v>T-033</x:v>
      </x:c>
      <x:c r="B34" s="14" t="n">
        <x:v>33</x:v>
      </x:c>
      <x:c r="C34" s="14" t="str">
        <x:v>UI Pages</x:v>
      </x:c>
      <x:c r="D34" s="14" t="str">
        <x:v>阵容</x:v>
      </x:c>
      <x:c r="E34" s="14" t="str">
        <x:v>P1</x:v>
      </x:c>
      <x:c r="F34" s="14" t="str">
        <x:v>UI</x:v>
      </x:c>
      <x:c r="G34" s="14" t="str">
        <x:v>实现阵容Tab列表版</x:v>
      </x:c>
      <x:c r="H34" s="14" t="str">
        <x:v>主客队首发/替补分组展示，缺失时显示未公布。</x:v>
      </x:c>
      <x:c r="I34" s="14" t="str">
        <x:v>T-027,T-008</x:v>
      </x:c>
      <x:c r="J34" s="14" t="str">
        <x:v>LineupTab</x:v>
      </x:c>
      <x:c r="K34" s="14" t="str">
        <x:v>阵容数据展示稳定；无数据不报错。</x:v>
      </x:c>
      <x:c r="L34" s="14" t="str">
        <x:v>Widget tests</x:v>
      </x:c>
      <x:c r="M34" s="14" t="str">
        <x:v>M</x:v>
      </x:c>
      <x:c r="N34" s="14" t="str">
        <x:v>Not Started</x:v>
      </x:c>
      <x:c r="O34" s="14" t="str">
        <x:v>Flutter</x:v>
      </x:c>
      <x:c r="P34" s="14" t="str">
        <x:v>Build lineup tab with starters and substitutes list.</x:v>
      </x:c>
      <x:c r="Q34" s="14" t="str"/>
    </x:row>
    <x:row r="35" ht="60" customHeight="1">
      <x:c r="A35" s="14" t="str">
        <x:v>T-034</x:v>
      </x:c>
      <x:c r="B35" s="14" t="n">
        <x:v>34</x:v>
      </x:c>
      <x:c r="C35" s="14" t="str">
        <x:v>UI Pages</x:v>
      </x:c>
      <x:c r="D35" s="14" t="str">
        <x:v>资讯</x:v>
      </x:c>
      <x:c r="E35" s="14" t="str">
        <x:v>P1</x:v>
      </x:c>
      <x:c r="F35" s="14" t="str">
        <x:v>UI</x:v>
      </x:c>
      <x:c r="G35" s="14" t="str">
        <x:v>预留图文直播Tab</x:v>
      </x:c>
      <x:c r="H35" s="14" t="str">
        <x:v>实现CommentaryTab接口和空状态，后续接内容源。</x:v>
      </x:c>
      <x:c r="I35" s="14" t="str">
        <x:v>T-027</x:v>
      </x:c>
      <x:c r="J35" s="14" t="str">
        <x:v>CommentaryTab placeholder</x:v>
      </x:c>
      <x:c r="K35" s="14" t="str">
        <x:v>未接内容源时不会影响详情页。</x:v>
      </x:c>
      <x:c r="L35" s="14" t="str">
        <x:v>Widget test</x:v>
      </x:c>
      <x:c r="M35" s="14" t="str">
        <x:v>S</x:v>
      </x:c>
      <x:c r="N35" s="14" t="str">
        <x:v>Not Started</x:v>
      </x:c>
      <x:c r="O35" s="14" t="str">
        <x:v>Flutter</x:v>
      </x:c>
      <x:c r="P35" s="14" t="str">
        <x:v>Add placeholder commentary tab with future API boundary.</x:v>
      </x:c>
      <x:c r="Q35" s="14" t="str"/>
    </x:row>
    <x:row r="36" ht="60" customHeight="1">
      <x:c r="A36" s="14" t="str">
        <x:v>T-035</x:v>
      </x:c>
      <x:c r="B36" s="14" t="n">
        <x:v>35</x:v>
      </x:c>
      <x:c r="C36" s="14" t="str">
        <x:v>UI Pages</x:v>
      </x:c>
      <x:c r="D36" s="14" t="str">
        <x:v>分享</x:v>
      </x:c>
      <x:c r="E36" s="14" t="str">
        <x:v>P1</x:v>
      </x:c>
      <x:c r="F36" s="14" t="str">
        <x:v>UI</x:v>
      </x:c>
      <x:c r="G36" s="14" t="str">
        <x:v>实现比赛分享</x:v>
      </x:c>
      <x:c r="H36" s="14" t="str">
        <x:v>接入share_plus，分享球队、比分、状态和deep link文案。</x:v>
      </x:c>
      <x:c r="I36" s="14" t="str">
        <x:v>T-027</x:v>
      </x:c>
      <x:c r="J36" s="14" t="str">
        <x:v>ShareMatchAction</x:v>
      </x:c>
      <x:c r="K36" s="14" t="str">
        <x:v>分享文案包含必要信息；无比分时文案合理。</x:v>
      </x:c>
      <x:c r="L36" s="14" t="str">
        <x:v>Unit tests for share text builder</x:v>
      </x:c>
      <x:c r="M36" s="14" t="str">
        <x:v>S</x:v>
      </x:c>
      <x:c r="N36" s="14" t="str">
        <x:v>Not Started</x:v>
      </x:c>
      <x:c r="O36" s="14" t="str">
        <x:v>Flutter</x:v>
      </x:c>
      <x:c r="P36" s="14" t="str">
        <x:v>Add share action and match share text builder.</x:v>
      </x:c>
      <x:c r="Q36" s="14" t="str"/>
    </x:row>
    <x:row r="37" ht="60" customHeight="1">
      <x:c r="A37" s="14" t="str">
        <x:v>T-036</x:v>
      </x:c>
      <x:c r="B37" s="14" t="n">
        <x:v>36</x:v>
      </x:c>
      <x:c r="C37" s="14" t="str">
        <x:v>Feature</x:v>
      </x:c>
      <x:c r="D37" s="14" t="str">
        <x:v>积分榜</x:v>
      </x:c>
      <x:c r="E37" s="14" t="str">
        <x:v>P1</x:v>
      </x:c>
      <x:c r="F37" s="14" t="str">
        <x:v>UI</x:v>
      </x:c>
      <x:c r="G37" s="14" t="str">
        <x:v>实现积分榜页面</x:v>
      </x:c>
      <x:c r="H37" s="14" t="str">
        <x:v>表格展示排名、球队、赛、胜平负、净胜球、积分；支持联赛筛选。</x:v>
      </x:c>
      <x:c r="I37" s="14" t="str">
        <x:v>T-008,T-012,T-006</x:v>
      </x:c>
      <x:c r="J37" s="14" t="str">
        <x:v>StandingsPage</x:v>
      </x:c>
      <x:c r="K37" s="14" t="str">
        <x:v>表头固定或清晰；排名排序正确。</x:v>
      </x:c>
      <x:c r="L37" s="14" t="str">
        <x:v>Widget tests</x:v>
      </x:c>
      <x:c r="M37" s="14" t="str">
        <x:v>M</x:v>
      </x:c>
      <x:c r="N37" s="14" t="str">
        <x:v>Not Started</x:v>
      </x:c>
      <x:c r="O37" s="14" t="str">
        <x:v>Flutter</x:v>
      </x:c>
      <x:c r="P37" s="14" t="str">
        <x:v>Implement standings page and standings table.</x:v>
      </x:c>
      <x:c r="Q37" s="14" t="str"/>
    </x:row>
    <x:row r="38" ht="60" customHeight="1">
      <x:c r="A38" s="14" t="str">
        <x:v>T-037</x:v>
      </x:c>
      <x:c r="B38" s="14" t="n">
        <x:v>37</x:v>
      </x:c>
      <x:c r="C38" s="14" t="str">
        <x:v>Feature</x:v>
      </x:c>
      <x:c r="D38" s="14" t="str">
        <x:v>积分榜</x:v>
      </x:c>
      <x:c r="E38" s="14" t="str">
        <x:v>P1</x:v>
      </x:c>
      <x:c r="F38" s="14" t="str">
        <x:v>State</x:v>
      </x:c>
      <x:c r="G38" s="14" t="str">
        <x:v>积分榜Provider</x:v>
      </x:c>
      <x:c r="H38" s="14" t="str">
        <x:v>加载standing数据，支持缓存、刷新、错误重试。</x:v>
      </x:c>
      <x:c r="I38" s="14" t="str">
        <x:v>T-012,T-013,T-036</x:v>
      </x:c>
      <x:c r="J38" s="14" t="str">
        <x:v>StandingsProvider</x:v>
      </x:c>
      <x:c r="K38" s="14" t="str">
        <x:v>切换联赛/赛季数据正确刷新。</x:v>
      </x:c>
      <x:c r="L38" s="14" t="str">
        <x:v>Provider tests</x:v>
      </x:c>
      <x:c r="M38" s="14" t="str">
        <x:v>M</x:v>
      </x:c>
      <x:c r="N38" s="14" t="str">
        <x:v>Not Started</x:v>
      </x:c>
      <x:c r="O38" s="14" t="str">
        <x:v>Flutter</x:v>
      </x:c>
      <x:c r="P38" s="14" t="str">
        <x:v>Create standings provider with caching and refresh.</x:v>
      </x:c>
      <x:c r="Q38" s="14" t="str"/>
    </x:row>
    <x:row r="39" ht="60" customHeight="1">
      <x:c r="A39" s="14" t="str">
        <x:v>T-038</x:v>
      </x:c>
      <x:c r="B39" s="14" t="n">
        <x:v>38</x:v>
      </x:c>
      <x:c r="C39" s="14" t="str">
        <x:v>Feature</x:v>
      </x:c>
      <x:c r="D39" s="14" t="str">
        <x:v>搜索</x:v>
      </x:c>
      <x:c r="E39" s="14" t="str">
        <x:v>P1</x:v>
      </x:c>
      <x:c r="F39" s="14" t="str">
        <x:v>UI</x:v>
      </x:c>
      <x:c r="G39" s="14" t="str">
        <x:v>实现搜索页</x:v>
      </x:c>
      <x:c r="H39" s="14" t="str">
        <x:v>搜索球队/联赛/比赛，结果分组，最近搜索。</x:v>
      </x:c>
      <x:c r="I39" s="14" t="str">
        <x:v>T-006,T-012,T-013</x:v>
      </x:c>
      <x:c r="J39" s="14" t="str">
        <x:v>SearchPage</x:v>
      </x:c>
      <x:c r="K39" s="14" t="str">
        <x:v>输入防抖；空结果有提示。</x:v>
      </x:c>
      <x:c r="L39" s="14" t="str">
        <x:v>Widget tests</x:v>
      </x:c>
      <x:c r="M39" s="14" t="str">
        <x:v>M</x:v>
      </x:c>
      <x:c r="N39" s="14" t="str">
        <x:v>Not Started</x:v>
      </x:c>
      <x:c r="O39" s="14" t="str">
        <x:v>Flutter</x:v>
      </x:c>
      <x:c r="P39" s="14" t="str">
        <x:v>Build search page with debounce and grouped results.</x:v>
      </x:c>
      <x:c r="Q39" s="14" t="str"/>
    </x:row>
    <x:row r="40" ht="60" customHeight="1">
      <x:c r="A40" s="14" t="str">
        <x:v>T-039</x:v>
      </x:c>
      <x:c r="B40" s="14" t="n">
        <x:v>39</x:v>
      </x:c>
      <x:c r="C40" s="14" t="str">
        <x:v>Feature</x:v>
      </x:c>
      <x:c r="D40" s="14" t="str">
        <x:v>关注</x:v>
      </x:c>
      <x:c r="E40" s="14" t="str">
        <x:v>P0</x:v>
      </x:c>
      <x:c r="F40" s="14" t="str">
        <x:v>State</x:v>
      </x:c>
      <x:c r="G40" s="14" t="str">
        <x:v>实现收藏/关注Repository</x:v>
      </x:c>
      <x:c r="H40" s="14" t="str">
        <x:v>本地保存favorite teams/matches；提供add/remove/watch接口。</x:v>
      </x:c>
      <x:c r="I40" s="14" t="str">
        <x:v>T-013,T-008</x:v>
      </x:c>
      <x:c r="J40" s="14" t="str">
        <x:v>FavoritesRepository</x:v>
      </x:c>
      <x:c r="K40" s="14" t="str">
        <x:v>重启后关注不丢；重复添加幂等。</x:v>
      </x:c>
      <x:c r="L40" s="14" t="str">
        <x:v>Repository unit tests</x:v>
      </x:c>
      <x:c r="M40" s="14" t="str">
        <x:v>M</x:v>
      </x:c>
      <x:c r="N40" s="14" t="str">
        <x:v>Not Started</x:v>
      </x:c>
      <x:c r="O40" s="14" t="str">
        <x:v>Flutter</x:v>
      </x:c>
      <x:c r="P40" s="14" t="str">
        <x:v>Implement favorites repository with local persistence.</x:v>
      </x:c>
      <x:c r="Q40" s="14" t="str"/>
    </x:row>
    <x:row r="41" ht="60" customHeight="1">
      <x:c r="A41" s="14" t="str">
        <x:v>T-040</x:v>
      </x:c>
      <x:c r="B41" s="14" t="n">
        <x:v>40</x:v>
      </x:c>
      <x:c r="C41" s="14" t="str">
        <x:v>Feature</x:v>
      </x:c>
      <x:c r="D41" s="14" t="str">
        <x:v>关注</x:v>
      </x:c>
      <x:c r="E41" s="14" t="str">
        <x:v>P0</x:v>
      </x:c>
      <x:c r="F41" s="14" t="str">
        <x:v>UI</x:v>
      </x:c>
      <x:c r="G41" s="14" t="str">
        <x:v>关注按钮与状态同步</x:v>
      </x:c>
      <x:c r="H41" s="14" t="str">
        <x:v>在比赛卡片、详情头部、搜索结果中显示和切换关注状态。</x:v>
      </x:c>
      <x:c r="I41" s="14" t="str">
        <x:v>T-022,T-029,T-039</x:v>
      </x:c>
      <x:c r="J41" s="14" t="str">
        <x:v>FavoriteButton</x:v>
      </x:c>
      <x:c r="K41" s="14" t="str">
        <x:v>多个页面状态一致；快速点击不会错乱。</x:v>
      </x:c>
      <x:c r="L41" s="14" t="str">
        <x:v>Widget/provider tests</x:v>
      </x:c>
      <x:c r="M41" s="14" t="str">
        <x:v>M</x:v>
      </x:c>
      <x:c r="N41" s="14" t="str">
        <x:v>Not Started</x:v>
      </x:c>
      <x:c r="O41" s="14" t="str">
        <x:v>Flutter</x:v>
      </x:c>
      <x:c r="P41" s="14" t="str">
        <x:v>Add FavoriteButton and wire it across card/detail/search.</x:v>
      </x:c>
      <x:c r="Q41" s="14" t="str"/>
    </x:row>
    <x:row r="42" ht="60" customHeight="1">
      <x:c r="A42" s="14" t="str">
        <x:v>T-041</x:v>
      </x:c>
      <x:c r="B42" s="14" t="n">
        <x:v>41</x:v>
      </x:c>
      <x:c r="C42" s="14" t="str">
        <x:v>Feature</x:v>
      </x:c>
      <x:c r="D42" s="14" t="str">
        <x:v>关注</x:v>
      </x:c>
      <x:c r="E42" s="14" t="str">
        <x:v>P0</x:v>
      </x:c>
      <x:c r="F42" s="14" t="str">
        <x:v>UI</x:v>
      </x:c>
      <x:c r="G42" s="14" t="str">
        <x:v>实现关注页</x:v>
      </x:c>
      <x:c r="H42" s="14" t="str">
        <x:v>展示关注比赛和球队，支持取消关注，优先显示进行中。</x:v>
      </x:c>
      <x:c r="I42" s="14" t="str">
        <x:v>T-039,T-023</x:v>
      </x:c>
      <x:c r="J42" s="14" t="str">
        <x:v>FavoritesPage</x:v>
      </x:c>
      <x:c r="K42" s="14" t="str">
        <x:v>没有关注时展示引导；取消后列表更新。</x:v>
      </x:c>
      <x:c r="L42" s="14" t="str">
        <x:v>Widget tests</x:v>
      </x:c>
      <x:c r="M42" s="14" t="str">
        <x:v>M</x:v>
      </x:c>
      <x:c r="N42" s="14" t="str">
        <x:v>Not Started</x:v>
      </x:c>
      <x:c r="O42" s="14" t="str">
        <x:v>Flutter</x:v>
      </x:c>
      <x:c r="P42" s="14" t="str">
        <x:v>Build favorites page for followed matches and teams.</x:v>
      </x:c>
      <x:c r="Q42" s="14" t="str"/>
    </x:row>
    <x:row r="43" ht="60" customHeight="1">
      <x:c r="A43" s="14" t="str">
        <x:v>T-042</x:v>
      </x:c>
      <x:c r="B43" s="14" t="n">
        <x:v>42</x:v>
      </x:c>
      <x:c r="C43" s="14" t="str">
        <x:v>Feature</x:v>
      </x:c>
      <x:c r="D43" s="14" t="str">
        <x:v>设置</x:v>
      </x:c>
      <x:c r="E43" s="14" t="str">
        <x:v>P1</x:v>
      </x:c>
      <x:c r="F43" s="14" t="str">
        <x:v>State</x:v>
      </x:c>
      <x:c r="G43" s="14" t="str">
        <x:v>设置持久化</x:v>
      </x:c>
      <x:c r="H43" s="14" t="str">
        <x:v>保存ThemeMode、Language、NotificationSettings、cache preferences。</x:v>
      </x:c>
      <x:c r="I43" s="14" t="str">
        <x:v>T-013</x:v>
      </x:c>
      <x:c r="J43" s="14" t="str">
        <x:v>SettingsRepository/Provider</x:v>
      </x:c>
      <x:c r="K43" s="14" t="str">
        <x:v>重启后设置保留。</x:v>
      </x:c>
      <x:c r="L43" s="14" t="str">
        <x:v>Unit/provider tests</x:v>
      </x:c>
      <x:c r="M43" s="14" t="str">
        <x:v>S</x:v>
      </x:c>
      <x:c r="N43" s="14" t="str">
        <x:v>Not Started</x:v>
      </x:c>
      <x:c r="O43" s="14" t="str">
        <x:v>Flutter</x:v>
      </x:c>
      <x:c r="P43" s="14" t="str">
        <x:v>Implement settings persistence and provider.</x:v>
      </x:c>
      <x:c r="Q43" s="14" t="str"/>
    </x:row>
    <x:row r="44" ht="60" customHeight="1">
      <x:c r="A44" s="14" t="str">
        <x:v>T-043</x:v>
      </x:c>
      <x:c r="B44" s="14" t="n">
        <x:v>43</x:v>
      </x:c>
      <x:c r="C44" s="14" t="str">
        <x:v>Feature</x:v>
      </x:c>
      <x:c r="D44" s="14" t="str">
        <x:v>设置</x:v>
      </x:c>
      <x:c r="E44" s="14" t="str">
        <x:v>P1</x:v>
      </x:c>
      <x:c r="F44" s="14" t="str">
        <x:v>UI</x:v>
      </x:c>
      <x:c r="G44" s="14" t="str">
        <x:v>实现我的/设置页</x:v>
      </x:c>
      <x:c r="H44" s="14" t="str">
        <x:v>主题切换、语言、通知设置、清理缓存、隐私、关于版本。</x:v>
      </x:c>
      <x:c r="I44" s="14" t="str">
        <x:v>T-006,T-042,T-005</x:v>
      </x:c>
      <x:c r="J44" s="14" t="str">
        <x:v>SettingsPage/ProfilePage</x:v>
      </x:c>
      <x:c r="K44" s="14" t="str">
        <x:v>设置项可用；缓存清理有确认。</x:v>
      </x:c>
      <x:c r="L44" s="14" t="str">
        <x:v>Widget tests</x:v>
      </x:c>
      <x:c r="M44" s="14" t="str">
        <x:v>M</x:v>
      </x:c>
      <x:c r="N44" s="14" t="str">
        <x:v>Not Started</x:v>
      </x:c>
      <x:c r="O44" s="14" t="str">
        <x:v>Flutter</x:v>
      </x:c>
      <x:c r="P44" s="14" t="str">
        <x:v>Build settings/profile page with theme, language, notification, privacy.</x:v>
      </x:c>
      <x:c r="Q44" s="14" t="str"/>
    </x:row>
    <x:row r="45" ht="60" customHeight="1">
      <x:c r="A45" s="14" t="str">
        <x:v>T-044</x:v>
      </x:c>
      <x:c r="B45" s="14" t="n">
        <x:v>44</x:v>
      </x:c>
      <x:c r="C45" s="14" t="str">
        <x:v>Feature</x:v>
      </x:c>
      <x:c r="D45" s="14" t="str">
        <x:v>本地化</x:v>
      </x:c>
      <x:c r="E45" s="14" t="str">
        <x:v>P1</x:v>
      </x:c>
      <x:c r="F45" s="14" t="str">
        <x:v>UI</x:v>
      </x:c>
      <x:c r="G45" s="14" t="str">
        <x:v>配置多语言</x:v>
      </x:c>
      <x:c r="H45" s="14" t="str">
        <x:v>添加l10n.yaml、zh/en arb；核心页面替换硬编码文案。</x:v>
      </x:c>
      <x:c r="I45" s="14" t="str">
        <x:v>T-043</x:v>
      </x:c>
      <x:c r="J45" s="14" t="str">
        <x:v>l10n files</x:v>
      </x:c>
      <x:c r="K45" s="14" t="str">
        <x:v>中文/英文可切换；核心页面无硬编码。</x:v>
      </x:c>
      <x:c r="L45" s="14" t="str">
        <x:v>Generate l10n and widget smoke test</x:v>
      </x:c>
      <x:c r="M45" s="14" t="str">
        <x:v>M</x:v>
      </x:c>
      <x:c r="N45" s="14" t="str">
        <x:v>Not Started</x:v>
      </x:c>
      <x:c r="O45" s="14" t="str">
        <x:v>Flutter</x:v>
      </x:c>
      <x:c r="P45" s="14" t="str">
        <x:v>Set up Flutter l10n with Chinese and English ARB files.</x:v>
      </x:c>
      <x:c r="Q45" s="14" t="str"/>
    </x:row>
    <x:row r="46" ht="60" customHeight="1">
      <x:c r="A46" s="14" t="str">
        <x:v>T-045</x:v>
      </x:c>
      <x:c r="B46" s="14" t="n">
        <x:v>45</x:v>
      </x:c>
      <x:c r="C46" s="14" t="str">
        <x:v>Notification</x:v>
      </x:c>
      <x:c r="D46" s="14" t="str">
        <x:v>推送</x:v>
      </x:c>
      <x:c r="E46" s="14" t="str">
        <x:v>P0</x:v>
      </x:c>
      <x:c r="F46" s="14" t="str">
        <x:v>Architecture</x:v>
      </x:c>
      <x:c r="G46" s="14" t="str">
        <x:v>通知服务抽象</x:v>
      </x:c>
      <x:c r="H46" s="14" t="str">
        <x:v>定义NotificationService接口，封装permission、token、topic subscribe、local notification。</x:v>
      </x:c>
      <x:c r="I46" s="14" t="str">
        <x:v>T-039,T-042</x:v>
      </x:c>
      <x:c r="J46" s="14" t="str">
        <x:v>NotificationService</x:v>
      </x:c>
      <x:c r="K46" s="14" t="str">
        <x:v>UI不直接依赖Firebase API。</x:v>
      </x:c>
      <x:c r="L46" s="14" t="str">
        <x:v>Unit tests with fake service</x:v>
      </x:c>
      <x:c r="M46" s="14" t="str">
        <x:v>M</x:v>
      </x:c>
      <x:c r="N46" s="14" t="str">
        <x:v>Not Started</x:v>
      </x:c>
      <x:c r="O46" s="14" t="str">
        <x:v>Flutter</x:v>
      </x:c>
      <x:c r="P46" s="14" t="str">
        <x:v>Create notification service abstraction for FCM/local notifications.</x:v>
      </x:c>
      <x:c r="Q46" s="14" t="str"/>
    </x:row>
    <x:row r="47" ht="60" customHeight="1">
      <x:c r="A47" s="14" t="str">
        <x:v>T-046</x:v>
      </x:c>
      <x:c r="B47" s="14" t="n">
        <x:v>46</x:v>
      </x:c>
      <x:c r="C47" s="14" t="str">
        <x:v>Notification</x:v>
      </x:c>
      <x:c r="D47" s="14" t="str">
        <x:v>推送</x:v>
      </x:c>
      <x:c r="E47" s="14" t="str">
        <x:v>P0</x:v>
      </x:c>
      <x:c r="F47" s="14" t="str">
        <x:v>DevOps</x:v>
      </x:c>
      <x:c r="G47" s="14" t="str">
        <x:v>配置Firebase Messaging</x:v>
      </x:c>
      <x:c r="H47" s="14" t="str">
        <x:v>接入firebase_core、firebase_messaging，配置Android/iOS基础文件和初始化。</x:v>
      </x:c>
      <x:c r="I47" s="14" t="str">
        <x:v>T-045</x:v>
      </x:c>
      <x:c r="J47" s="14" t="str">
        <x:v>Firebase initialization</x:v>
      </x:c>
      <x:c r="K47" s="14" t="str">
        <x:v>应用可获取token；无配置时mock环境不崩溃。</x:v>
      </x:c>
      <x:c r="L47" s="14" t="str">
        <x:v>Manual token retrieval test</x:v>
      </x:c>
      <x:c r="M47" s="14" t="str">
        <x:v>L</x:v>
      </x:c>
      <x:c r="N47" s="14" t="str">
        <x:v>Not Started</x:v>
      </x:c>
      <x:c r="O47" s="14" t="str">
        <x:v>DevOps</x:v>
      </x:c>
      <x:c r="P47" s="14" t="str">
        <x:v>Set up Firebase Cloud Messaging for Android and iOS.</x:v>
      </x:c>
      <x:c r="Q47" s="14" t="str"/>
    </x:row>
    <x:row r="48" ht="60" customHeight="1">
      <x:c r="A48" s="14" t="str">
        <x:v>T-047</x:v>
      </x:c>
      <x:c r="B48" s="14" t="n">
        <x:v>47</x:v>
      </x:c>
      <x:c r="C48" s="14" t="str">
        <x:v>Notification</x:v>
      </x:c>
      <x:c r="D48" s="14" t="str">
        <x:v>推送</x:v>
      </x:c>
      <x:c r="E48" s="14" t="str">
        <x:v>P0</x:v>
      </x:c>
      <x:c r="F48" s="14" t="str">
        <x:v>UI</x:v>
      </x:c>
      <x:c r="G48" s="14" t="str">
        <x:v>通知权限引导</x:v>
      </x:c>
      <x:c r="H48" s="14" t="str">
        <x:v>首次关注或进入通知设置时解释用途，再请求权限；记录用户选择。</x:v>
      </x:c>
      <x:c r="I48" s="14" t="str">
        <x:v>T-045,T-043</x:v>
      </x:c>
      <x:c r="J48" s="14" t="str">
        <x:v>PermissionPrompt</x:v>
      </x:c>
      <x:c r="K48" s="14" t="str">
        <x:v>未授权不重复骚扰；可在设置页重新引导。</x:v>
      </x:c>
      <x:c r="L48" s="14" t="str">
        <x:v>Widget tests</x:v>
      </x:c>
      <x:c r="M48" s="14" t="str">
        <x:v>M</x:v>
      </x:c>
      <x:c r="N48" s="14" t="str">
        <x:v>Not Started</x:v>
      </x:c>
      <x:c r="O48" s="14" t="str">
        <x:v>Design</x:v>
      </x:c>
      <x:c r="P48" s="14" t="str">
        <x:v>Implement notification permission UX and settings entry.</x:v>
      </x:c>
      <x:c r="Q48" s="14" t="str"/>
    </x:row>
    <x:row r="49" ht="60" customHeight="1">
      <x:c r="A49" s="14" t="str">
        <x:v>T-048</x:v>
      </x:c>
      <x:c r="B49" s="14" t="n">
        <x:v>48</x:v>
      </x:c>
      <x:c r="C49" s="14" t="str">
        <x:v>Notification</x:v>
      </x:c>
      <x:c r="D49" s="14" t="str">
        <x:v>推送</x:v>
      </x:c>
      <x:c r="E49" s="14" t="str">
        <x:v>P0</x:v>
      </x:c>
      <x:c r="F49" s="14" t="str">
        <x:v>Realtime</x:v>
      </x:c>
      <x:c r="G49" s="14" t="str">
        <x:v>关注事件通知触发策略</x:v>
      </x:c>
      <x:c r="H49" s="14" t="str">
        <x:v>MVP可本地监听实时事件触发通知；有后端后切换topic推送。</x:v>
      </x:c>
      <x:c r="I49" s="14" t="str">
        <x:v>T-015,T-039,T-045</x:v>
      </x:c>
      <x:c r="J49" s="14" t="str">
        <x:v>NotificationTriggerPolicy</x:v>
      </x:c>
      <x:c r="K49" s="14" t="str">
        <x:v>关注比赛进球/红牌/开赛可触发通知。</x:v>
      </x:c>
      <x:c r="L49" s="14" t="str">
        <x:v>Policy unit tests</x:v>
      </x:c>
      <x:c r="M49" s="14" t="str">
        <x:v>L</x:v>
      </x:c>
      <x:c r="N49" s="14" t="str">
        <x:v>Not Started</x:v>
      </x:c>
      <x:c r="O49" s="14" t="str">
        <x:v>Backend</x:v>
      </x:c>
      <x:c r="P49" s="14" t="str">
        <x:v>Implement notification trigger policy for followed matches.</x:v>
      </x:c>
      <x:c r="Q49" s="14" t="str"/>
    </x:row>
    <x:row r="50" ht="60" customHeight="1">
      <x:c r="A50" s="14" t="str">
        <x:v>T-049</x:v>
      </x:c>
      <x:c r="B50" s="14" t="n">
        <x:v>49</x:v>
      </x:c>
      <x:c r="C50" s="14" t="str">
        <x:v>Notification</x:v>
      </x:c>
      <x:c r="D50" s="14" t="str">
        <x:v>推送</x:v>
      </x:c>
      <x:c r="E50" s="14" t="str">
        <x:v>P1</x:v>
      </x:c>
      <x:c r="F50" s="14" t="str">
        <x:v>UI</x:v>
      </x:c>
      <x:c r="G50" s="14" t="str">
        <x:v>通知设置细分</x:v>
      </x:c>
      <x:c r="H50" s="14" t="str">
        <x:v>允许开关进球、红牌、开赛、完场；预留免打扰时间。</x:v>
      </x:c>
      <x:c r="I50" s="14" t="str">
        <x:v>T-043,T-045</x:v>
      </x:c>
      <x:c r="J50" s="14" t="str">
        <x:v>NotificationSettings UI</x:v>
      </x:c>
      <x:c r="K50" s="14" t="str">
        <x:v>设置保存并影响触发策略。</x:v>
      </x:c>
      <x:c r="L50" s="14" t="str">
        <x:v>Widget/provider tests</x:v>
      </x:c>
      <x:c r="M50" s="14" t="str">
        <x:v>M</x:v>
      </x:c>
      <x:c r="N50" s="14" t="str">
        <x:v>Not Started</x:v>
      </x:c>
      <x:c r="O50" s="14" t="str">
        <x:v>Flutter</x:v>
      </x:c>
      <x:c r="P50" s="14" t="str">
        <x:v>Build notification settings toggles and wire into policy.</x:v>
      </x:c>
      <x:c r="Q50" s="14" t="str"/>
    </x:row>
    <x:row r="51" ht="60" customHeight="1">
      <x:c r="A51" s="14" t="str">
        <x:v>T-050</x:v>
      </x:c>
      <x:c r="B51" s="14" t="n">
        <x:v>50</x:v>
      </x:c>
      <x:c r="C51" s="14" t="str">
        <x:v>Quality</x:v>
      </x:c>
      <x:c r="D51" s="14" t="str">
        <x:v>埋点</x:v>
      </x:c>
      <x:c r="E51" s="14" t="str">
        <x:v>P1</x:v>
      </x:c>
      <x:c r="F51" s="14" t="str">
        <x:v>Analytics</x:v>
      </x:c>
      <x:c r="G51" s="14" t="str">
        <x:v>实现AnalyticsService抽象</x:v>
      </x:c>
      <x:c r="H51" s="14" t="str">
        <x:v>封装trackEvent、setUserProperty、trackError，mock/dev可打印日志。</x:v>
      </x:c>
      <x:c r="I51" s="14" t="str">
        <x:v>T-004</x:v>
      </x:c>
      <x:c r="J51" s="14" t="str">
        <x:v>AnalyticsService</x:v>
      </x:c>
      <x:c r="K51" s="14" t="str">
        <x:v>关键事件调用不污染业务逻辑。</x:v>
      </x:c>
      <x:c r="L51" s="14" t="str">
        <x:v>Unit tests with fake analytics</x:v>
      </x:c>
      <x:c r="M51" s="14" t="str">
        <x:v>S</x:v>
      </x:c>
      <x:c r="N51" s="14" t="str">
        <x:v>Not Started</x:v>
      </x:c>
      <x:c r="O51" s="14" t="str">
        <x:v>Analytics</x:v>
      </x:c>
      <x:c r="P51" s="14" t="str">
        <x:v>Create analytics abstraction and fake implementation.</x:v>
      </x:c>
      <x:c r="Q51" s="14" t="str"/>
    </x:row>
    <x:row r="52" ht="60" customHeight="1">
      <x:c r="A52" s="14" t="str">
        <x:v>T-051</x:v>
      </x:c>
      <x:c r="B52" s="14" t="n">
        <x:v>51</x:v>
      </x:c>
      <x:c r="C52" s="14" t="str">
        <x:v>Quality</x:v>
      </x:c>
      <x:c r="D52" s="14" t="str">
        <x:v>埋点</x:v>
      </x:c>
      <x:c r="E52" s="14" t="str">
        <x:v>P1</x:v>
      </x:c>
      <x:c r="F52" s="14" t="str">
        <x:v>Analytics</x:v>
      </x:c>
      <x:c r="G52" s="14" t="str">
        <x:v>接入关键路径埋点</x:v>
      </x:c>
      <x:c r="H52" s="14" t="str">
        <x:v>首页加载、详情打开、关注、通知权限、WS连接、错误重试。</x:v>
      </x:c>
      <x:c r="I52" s="14" t="str">
        <x:v>T-050,T-021,T-027,T-039,T-015</x:v>
      </x:c>
      <x:c r="J52" s="14" t="str">
        <x:v>Analytics hooks</x:v>
      </x:c>
      <x:c r="K52" s="14" t="str">
        <x:v>Dashboard或日志可看到关键事件。</x:v>
      </x:c>
      <x:c r="L52" s="14" t="str">
        <x:v>Manual log verification</x:v>
      </x:c>
      <x:c r="M52" s="14" t="str">
        <x:v>M</x:v>
      </x:c>
      <x:c r="N52" s="14" t="str">
        <x:v>Not Started</x:v>
      </x:c>
      <x:c r="O52" s="14" t="str">
        <x:v>Analytics</x:v>
      </x:c>
      <x:c r="P52" s="14" t="str">
        <x:v>Add analytics events across key user journeys.</x:v>
      </x:c>
      <x:c r="Q52" s="14" t="str"/>
    </x:row>
    <x:row r="53" ht="60" customHeight="1">
      <x:c r="A53" s="14" t="str">
        <x:v>T-052</x:v>
      </x:c>
      <x:c r="B53" s="14" t="n">
        <x:v>52</x:v>
      </x:c>
      <x:c r="C53" s="14" t="str">
        <x:v>Quality</x:v>
      </x:c>
      <x:c r="D53" s="14" t="str">
        <x:v>监控</x:v>
      </x:c>
      <x:c r="E53" s="14" t="str">
        <x:v>P1</x:v>
      </x:c>
      <x:c r="F53" s="14" t="str">
        <x:v>DevOps</x:v>
      </x:c>
      <x:c r="G53" s="14" t="str">
        <x:v>接入崩溃/错误监控</x:v>
      </x:c>
      <x:c r="H53" s="14" t="str">
        <x:v>可选Crashlytics/Sentry；至少统一FlutterError和Zone错误处理。</x:v>
      </x:c>
      <x:c r="I53" s="14" t="str">
        <x:v>T-004,T-014</x:v>
      </x:c>
      <x:c r="J53" s="14" t="str">
        <x:v>Crash/Error monitor</x:v>
      </x:c>
      <x:c r="K53" s="14" t="str">
        <x:v>未捕获异常可记录；debug环境可见堆栈。</x:v>
      </x:c>
      <x:c r="L53" s="14" t="str">
        <x:v>Manual induced error test</x:v>
      </x:c>
      <x:c r="M53" s="14" t="str">
        <x:v>M</x:v>
      </x:c>
      <x:c r="N53" s="14" t="str">
        <x:v>Not Started</x:v>
      </x:c>
      <x:c r="O53" s="14" t="str">
        <x:v>DevOps</x:v>
      </x:c>
      <x:c r="P53" s="14" t="str">
        <x:v>Add crash/error monitoring hooks and global error handling.</x:v>
      </x:c>
      <x:c r="Q53" s="14" t="str"/>
    </x:row>
    <x:row r="54" ht="60" customHeight="1">
      <x:c r="A54" s="14" t="str">
        <x:v>T-053</x:v>
      </x:c>
      <x:c r="B54" s="14" t="n">
        <x:v>53</x:v>
      </x:c>
      <x:c r="C54" s="14" t="str">
        <x:v>Compliance</x:v>
      </x:c>
      <x:c r="D54" s="14" t="str">
        <x:v>隐私</x:v>
      </x:c>
      <x:c r="E54" s="14" t="str">
        <x:v>P0</x:v>
      </x:c>
      <x:c r="F54" s="14" t="str">
        <x:v>Security</x:v>
      </x:c>
      <x:c r="G54" s="14" t="str">
        <x:v>隐私页与权限说明</x:v>
      </x:c>
      <x:c r="H54" s="14" t="str">
        <x:v>设置页提供隐私说明；通知和埋点在文案中说明用途。</x:v>
      </x:c>
      <x:c r="I54" s="14" t="str">
        <x:v>T-043,T-045,T-050</x:v>
      </x:c>
      <x:c r="J54" s="14" t="str">
        <x:v>PrivacyPage</x:v>
      </x:c>
      <x:c r="K54" s="14" t="str">
        <x:v>权限请求前有说明；隐私入口可访问。</x:v>
      </x:c>
      <x:c r="L54" s="14" t="str">
        <x:v>Widget tests</x:v>
      </x:c>
      <x:c r="M54" s="14" t="str">
        <x:v>S</x:v>
      </x:c>
      <x:c r="N54" s="14" t="str">
        <x:v>Not Started</x:v>
      </x:c>
      <x:c r="O54" s="14" t="str">
        <x:v>Security</x:v>
      </x:c>
      <x:c r="P54" s="14" t="str">
        <x:v>Implement privacy page and permission rationale copy.</x:v>
      </x:c>
      <x:c r="Q54" s="14" t="str"/>
    </x:row>
    <x:row r="55" ht="60" customHeight="1">
      <x:c r="A55" s="14" t="str">
        <x:v>T-054</x:v>
      </x:c>
      <x:c r="B55" s="14" t="n">
        <x:v>54</x:v>
      </x:c>
      <x:c r="C55" s="14" t="str">
        <x:v>Compliance</x:v>
      </x:c>
      <x:c r="D55" s="14" t="str">
        <x:v>安全</x:v>
      </x:c>
      <x:c r="E55" s="14" t="str">
        <x:v>P0</x:v>
      </x:c>
      <x:c r="F55" s="14" t="str">
        <x:v>Security</x:v>
      </x:c>
      <x:c r="G55" s="14" t="str">
        <x:v>API Key与配置安全</x:v>
      </x:c>
      <x:c r="H55" s="14" t="str">
        <x:v>避免在代码中硬编码生产密钥；使用dart-define或后端代理；日志脱敏。</x:v>
      </x:c>
      <x:c r="I55" s="14" t="str">
        <x:v>T-004,T-011</x:v>
      </x:c>
      <x:c r="J55" s="14" t="str">
        <x:v>Secure config guidance</x:v>
      </x:c>
      <x:c r="K55" s="14" t="str">
        <x:v>仓库中没有生产密钥；日志不输出token。</x:v>
      </x:c>
      <x:c r="L55" s="14" t="str">
        <x:v>Search repo for secrets; unit test log redaction</x:v>
      </x:c>
      <x:c r="M55" s="14" t="str">
        <x:v>S</x:v>
      </x:c>
      <x:c r="N55" s="14" t="str">
        <x:v>Not Started</x:v>
      </x:c>
      <x:c r="O55" s="14" t="str">
        <x:v>Security</x:v>
      </x:c>
      <x:c r="P55" s="14" t="str">
        <x:v>Ensure API keys are not hardcoded and logs redact secrets.</x:v>
      </x:c>
      <x:c r="Q55" s="14" t="str"/>
    </x:row>
    <x:row r="56" ht="60" customHeight="1">
      <x:c r="A56" s="14" t="str">
        <x:v>T-055</x:v>
      </x:c>
      <x:c r="B56" s="14" t="n">
        <x:v>55</x:v>
      </x:c>
      <x:c r="C56" s="14" t="str">
        <x:v>Testing</x:v>
      </x:c>
      <x:c r="D56" s="14" t="str">
        <x:v>单元测试</x:v>
      </x:c>
      <x:c r="E56" s="14" t="str">
        <x:v>P0</x:v>
      </x:c>
      <x:c r="F56" s="14" t="str">
        <x:v>Testing</x:v>
      </x:c>
      <x:c r="G56" s="14" t="str">
        <x:v>模型和Mapper单元测试</x:v>
      </x:c>
      <x:c r="H56" s="14" t="str">
        <x:v>覆盖JSON解析、状态映射、事件reducer、排序分组、错误映射。</x:v>
      </x:c>
      <x:c r="I56" s="14" t="str">
        <x:v>T-008,T-009,T-017,T-024,T-014</x:v>
      </x:c>
      <x:c r="J56" s="14" t="str">
        <x:v>unit tests</x:v>
      </x:c>
      <x:c r="K56" s="14" t="str">
        <x:v>核心逻辑测试通过。</x:v>
      </x:c>
      <x:c r="L56" s="14" t="str">
        <x:v>flutter test test/unit</x:v>
      </x:c>
      <x:c r="M56" s="14" t="str">
        <x:v>M</x:v>
      </x:c>
      <x:c r="N56" s="14" t="str">
        <x:v>Not Started</x:v>
      </x:c>
      <x:c r="O56" s="14" t="str">
        <x:v>QA</x:v>
      </x:c>
      <x:c r="P56" s="14" t="str">
        <x:v>Add unit tests for models, mappers, reducers, sorting, errors.</x:v>
      </x:c>
      <x:c r="Q56" s="14" t="str"/>
    </x:row>
    <x:row r="57" ht="60" customHeight="1">
      <x:c r="A57" s="14" t="str">
        <x:v>T-056</x:v>
      </x:c>
      <x:c r="B57" s="14" t="n">
        <x:v>56</x:v>
      </x:c>
      <x:c r="C57" s="14" t="str">
        <x:v>Testing</x:v>
      </x:c>
      <x:c r="D57" s="14" t="str">
        <x:v>Provider测试</x:v>
      </x:c>
      <x:c r="E57" s="14" t="str">
        <x:v>P0</x:v>
      </x:c>
      <x:c r="F57" s="14" t="str">
        <x:v>Testing</x:v>
      </x:c>
      <x:c r="G57" s="14" t="str">
        <x:v>Repository/Provider测试</x:v>
      </x:c>
      <x:c r="H57" s="14" t="str">
        <x:v>用fake repository验证首页、详情、关注、设置provider状态流。</x:v>
      </x:c>
      <x:c r="I57" s="14" t="str">
        <x:v>T-012,T-023,T-028,T-039,T-042</x:v>
      </x:c>
      <x:c r="J57" s="14" t="str">
        <x:v>provider tests</x:v>
      </x:c>
      <x:c r="K57" s="14" t="str">
        <x:v>加载/错误/刷新/实时更新状态符合预期。</x:v>
      </x:c>
      <x:c r="L57" s="14" t="str">
        <x:v>flutter test test/providers</x:v>
      </x:c>
      <x:c r="M57" s="14" t="str">
        <x:v>L</x:v>
      </x:c>
      <x:c r="N57" s="14" t="str">
        <x:v>Not Started</x:v>
      </x:c>
      <x:c r="O57" s="14" t="str">
        <x:v>QA</x:v>
      </x:c>
      <x:c r="P57" s="14" t="str">
        <x:v>Write Riverpod provider tests with fake repositories.</x:v>
      </x:c>
      <x:c r="Q57" s="14" t="str"/>
    </x:row>
    <x:row r="58" ht="60" customHeight="1">
      <x:c r="A58" s="14" t="str">
        <x:v>T-057</x:v>
      </x:c>
      <x:c r="B58" s="14" t="n">
        <x:v>57</x:v>
      </x:c>
      <x:c r="C58" s="14" t="str">
        <x:v>Testing</x:v>
      </x:c>
      <x:c r="D58" s="14" t="str">
        <x:v>Widget测试</x:v>
      </x:c>
      <x:c r="E58" s="14" t="str">
        <x:v>P0</x:v>
      </x:c>
      <x:c r="F58" s="14" t="str">
        <x:v>Testing</x:v>
      </x:c>
      <x:c r="G58" s="14" t="str">
        <x:v>核心组件Widget测试</x:v>
      </x:c>
      <x:c r="H58" s="14" t="str">
        <x:v>测试MatchCard、AsyncView、DetailHeader、Timeline、StatsTab、FavoriteButton。</x:v>
      </x:c>
      <x:c r="I58" s="14" t="str">
        <x:v>T-007,T-022,T-029,T-030,T-032,T-040</x:v>
      </x:c>
      <x:c r="J58" s="14" t="str">
        <x:v>widget tests</x:v>
      </x:c>
      <x:c r="K58" s="14" t="str">
        <x:v>核心组件不同状态渲染正确。</x:v>
      </x:c>
      <x:c r="L58" s="14" t="str">
        <x:v>flutter test test/widgets</x:v>
      </x:c>
      <x:c r="M58" s="14" t="str">
        <x:v>L</x:v>
      </x:c>
      <x:c r="N58" s="14" t="str">
        <x:v>Not Started</x:v>
      </x:c>
      <x:c r="O58" s="14" t="str">
        <x:v>QA</x:v>
      </x:c>
      <x:c r="P58" s="14" t="str">
        <x:v>Write widget tests for core UI components.</x:v>
      </x:c>
      <x:c r="Q58" s="14" t="str"/>
    </x:row>
    <x:row r="59" ht="60" customHeight="1">
      <x:c r="A59" s="14" t="str">
        <x:v>T-058</x:v>
      </x:c>
      <x:c r="B59" s="14" t="n">
        <x:v>58</x:v>
      </x:c>
      <x:c r="C59" s="14" t="str">
        <x:v>Testing</x:v>
      </x:c>
      <x:c r="D59" s="14" t="str">
        <x:v>集成测试</x:v>
      </x:c>
      <x:c r="E59" s="14" t="str">
        <x:v>P0</x:v>
      </x:c>
      <x:c r="F59" s="14" t="str">
        <x:v>Testing</x:v>
      </x:c>
      <x:c r="G59" s="14" t="str">
        <x:v>关键路径集成测试</x:v>
      </x:c>
      <x:c r="H59" s="14" t="str">
        <x:v>App启动-&gt;首页-&gt;详情-&gt;关注-&gt;通知设置-&gt;返回关注页。</x:v>
      </x:c>
      <x:c r="I59" s="14" t="str">
        <x:v>T-021,T-027,T-041,T-043,T-047</x:v>
      </x:c>
      <x:c r="J59" s="14" t="str">
        <x:v>integration tests</x:v>
      </x:c>
      <x:c r="K59" s="14" t="str">
        <x:v>关键路径在mock环境通过。</x:v>
      </x:c>
      <x:c r="L59" s="14" t="str">
        <x:v>flutter test integration_test</x:v>
      </x:c>
      <x:c r="M59" s="14" t="str">
        <x:v>L</x:v>
      </x:c>
      <x:c r="N59" s="14" t="str">
        <x:v>Not Started</x:v>
      </x:c>
      <x:c r="O59" s="14" t="str">
        <x:v>QA</x:v>
      </x:c>
      <x:c r="P59" s="14" t="str">
        <x:v>Create integration test for core user journey using mock environment.</x:v>
      </x:c>
      <x:c r="Q59" s="14" t="str"/>
    </x:row>
    <x:row r="60" ht="60" customHeight="1">
      <x:c r="A60" s="14" t="str">
        <x:v>T-059</x:v>
      </x:c>
      <x:c r="B60" s="14" t="n">
        <x:v>59</x:v>
      </x:c>
      <x:c r="C60" s="14" t="str">
        <x:v>Testing</x:v>
      </x:c>
      <x:c r="D60" s="14" t="str">
        <x:v>Golden测试</x:v>
      </x:c>
      <x:c r="E60" s="14" t="str">
        <x:v>P1</x:v>
      </x:c>
      <x:c r="F60" s="14" t="str">
        <x:v>Testing</x:v>
      </x:c>
      <x:c r="G60" s="14" t="str">
        <x:v>深浅色Golden测试</x:v>
      </x:c>
      <x:c r="H60" s="14" t="str">
        <x:v>为首页卡片、详情头部、时间线、统计Tab生成深浅色golden。</x:v>
      </x:c>
      <x:c r="I60" s="14" t="str">
        <x:v>T-005,T-022,T-029,T-030,T-032</x:v>
      </x:c>
      <x:c r="J60" s="14" t="str">
        <x:v>golden tests</x:v>
      </x:c>
      <x:c r="K60" s="14" t="str">
        <x:v>UI改动可被截图测试发现。</x:v>
      </x:c>
      <x:c r="L60" s="14" t="str">
        <x:v>flutter test --update-goldens then compare</x:v>
      </x:c>
      <x:c r="M60" s="14" t="str">
        <x:v>M</x:v>
      </x:c>
      <x:c r="N60" s="14" t="str">
        <x:v>Not Started</x:v>
      </x:c>
      <x:c r="O60" s="14" t="str">
        <x:v>Design</x:v>
      </x:c>
      <x:c r="P60" s="14" t="str">
        <x:v>Add golden tests for dark and light theme key components.</x:v>
      </x:c>
      <x:c r="Q60" s="14" t="str"/>
    </x:row>
    <x:row r="61" ht="60" customHeight="1">
      <x:c r="A61" s="14" t="str">
        <x:v>T-060</x:v>
      </x:c>
      <x:c r="B61" s="14" t="n">
        <x:v>60</x:v>
      </x:c>
      <x:c r="C61" s="14" t="str">
        <x:v>Performance</x:v>
      </x:c>
      <x:c r="D61" s="14" t="str">
        <x:v>性能</x:v>
      </x:c>
      <x:c r="E61" s="14" t="str">
        <x:v>P0</x:v>
      </x:c>
      <x:c r="F61" s="14" t="str">
        <x:v>Testing</x:v>
      </x:c>
      <x:c r="G61" s="14" t="str">
        <x:v>列表性能优化</x:v>
      </x:c>
      <x:c r="H61" s="14" t="str">
        <x:v>使用ListView.builder、图片缓存、避免过度rebuild；Provider selector拆分。</x:v>
      </x:c>
      <x:c r="I61" s="14" t="str">
        <x:v>T-021,T-023</x:v>
      </x:c>
      <x:c r="J61" s="14" t="str">
        <x:v>Performance optimizations</x:v>
      </x:c>
      <x:c r="K61" s="14" t="str">
        <x:v>100场比赛列表滚动流畅；实时更新不整页重建。</x:v>
      </x:c>
      <x:c r="L61" s="14" t="str">
        <x:v>Profile mode scroll test</x:v>
      </x:c>
      <x:c r="M61" s="14" t="str">
        <x:v>M</x:v>
      </x:c>
      <x:c r="N61" s="14" t="str">
        <x:v>Not Started</x:v>
      </x:c>
      <x:c r="O61" s="14" t="str">
        <x:v>Flutter</x:v>
      </x:c>
      <x:c r="P61" s="14" t="str">
        <x:v>Optimize match list rendering and rebuild boundaries.</x:v>
      </x:c>
      <x:c r="Q61" s="14" t="str"/>
    </x:row>
    <x:row r="62" ht="60" customHeight="1">
      <x:c r="A62" s="14" t="str">
        <x:v>T-061</x:v>
      </x:c>
      <x:c r="B62" s="14" t="n">
        <x:v>61</x:v>
      </x:c>
      <x:c r="C62" s="14" t="str">
        <x:v>Performance</x:v>
      </x:c>
      <x:c r="D62" s="14" t="str">
        <x:v>性能</x:v>
      </x:c>
      <x:c r="E62" s="14" t="str">
        <x:v>P0</x:v>
      </x:c>
      <x:c r="F62" s="14" t="str">
        <x:v>Testing</x:v>
      </x:c>
      <x:c r="G62" s="14" t="str">
        <x:v>实时更新压力测试</x:v>
      </x:c>
      <x:c r="H62" s="14" t="str">
        <x:v>模拟高频WS事件，验证去重、渲染频率节流、内存稳定。</x:v>
      </x:c>
      <x:c r="I62" s="14" t="str">
        <x:v>T-015,T-017,T-018</x:v>
      </x:c>
      <x:c r="J62" s="14" t="str">
        <x:v>Stress test utilities</x:v>
      </x:c>
      <x:c r="K62" s="14" t="str">
        <x:v>高频事件下不卡死；无重复比分。</x:v>
      </x:c>
      <x:c r="L62" s="14" t="str">
        <x:v>Fake socket load test</x:v>
      </x:c>
      <x:c r="M62" s="14" t="str">
        <x:v>M</x:v>
      </x:c>
      <x:c r="N62" s="14" t="str">
        <x:v>Not Started</x:v>
      </x:c>
      <x:c r="O62" s="14" t="str">
        <x:v>QA</x:v>
      </x:c>
      <x:c r="P62" s="14" t="str">
        <x:v>Create fake websocket stress test for high-frequency match updates.</x:v>
      </x:c>
      <x:c r="Q62" s="14" t="str"/>
    </x:row>
    <x:row r="63" ht="60" customHeight="1">
      <x:c r="A63" s="14" t="str">
        <x:v>T-062</x:v>
      </x:c>
      <x:c r="B63" s="14" t="n">
        <x:v>62</x:v>
      </x:c>
      <x:c r="C63" s="14" t="str">
        <x:v>Performance</x:v>
      </x:c>
      <x:c r="D63" s="14" t="str">
        <x:v>性能</x:v>
      </x:c>
      <x:c r="E63" s="14" t="str">
        <x:v>P1</x:v>
      </x:c>
      <x:c r="F63" s="14" t="str">
        <x:v>UI</x:v>
      </x:c>
      <x:c r="G63" s="14" t="str">
        <x:v>图片与Logo缓存优化</x:v>
      </x:c>
      <x:c r="H63" s="14" t="str">
        <x:v>球队logo使用cached_network_image或等效策略；失败占位。</x:v>
      </x:c>
      <x:c r="I63" s="14" t="str">
        <x:v>T-022,T-029</x:v>
      </x:c>
      <x:c r="J63" s="14" t="str">
        <x:v>Image cache config</x:v>
      </x:c>
      <x:c r="K63" s="14" t="str">
        <x:v>Logo加载失败不影响布局；重复logo不反复请求。</x:v>
      </x:c>
      <x:c r="L63" s="14" t="str">
        <x:v>Widget/manual test</x:v>
      </x:c>
      <x:c r="M63" s="14" t="str">
        <x:v>S</x:v>
      </x:c>
      <x:c r="N63" s="14" t="str">
        <x:v>Not Started</x:v>
      </x:c>
      <x:c r="O63" s="14" t="str">
        <x:v>Flutter</x:v>
      </x:c>
      <x:c r="P63" s="14" t="str">
        <x:v>Optimize team logo loading with cache and fallback placeholder.</x:v>
      </x:c>
      <x:c r="Q63" s="14" t="str"/>
    </x:row>
    <x:row r="64" ht="60" customHeight="1">
      <x:c r="A64" s="14" t="str">
        <x:v>T-063</x:v>
      </x:c>
      <x:c r="B64" s="14" t="n">
        <x:v>63</x:v>
      </x:c>
      <x:c r="C64" s="14" t="str">
        <x:v>DevOps</x:v>
      </x:c>
      <x:c r="D64" s="14" t="str">
        <x:v>CI/CD</x:v>
      </x:c>
      <x:c r="E64" s="14" t="str">
        <x:v>P0</x:v>
      </x:c>
      <x:c r="F64" s="14" t="str">
        <x:v>DevOps</x:v>
      </x:c>
      <x:c r="G64" s="14" t="str">
        <x:v>配置CI流水线</x:v>
      </x:c>
      <x:c r="H64" s="14" t="str">
        <x:v>GitHub Actions/Codemagic执行format、analyze、test、build apk/ipa可选。</x:v>
      </x:c>
      <x:c r="I64" s="14" t="str">
        <x:v>T-003,T-055,T-056,T-057</x:v>
      </x:c>
      <x:c r="J64" s="14" t="str">
        <x:v>CI workflow</x:v>
      </x:c>
      <x:c r="K64" s="14" t="str">
        <x:v>PR自动跑检查；失败可定位。</x:v>
      </x:c>
      <x:c r="L64" s="14" t="str">
        <x:v>Run CI locally/remote</x:v>
      </x:c>
      <x:c r="M64" s="14" t="str">
        <x:v>M</x:v>
      </x:c>
      <x:c r="N64" s="14" t="str">
        <x:v>Not Started</x:v>
      </x:c>
      <x:c r="O64" s="14" t="str">
        <x:v>DevOps</x:v>
      </x:c>
      <x:c r="P64" s="14" t="str">
        <x:v>Add CI workflow for format, analyze, tests, and build.</x:v>
      </x:c>
      <x:c r="Q64" s="14" t="str"/>
    </x:row>
    <x:row r="65" ht="60" customHeight="1">
      <x:c r="A65" s="14" t="str">
        <x:v>T-064</x:v>
      </x:c>
      <x:c r="B65" s="14" t="n">
        <x:v>64</x:v>
      </x:c>
      <x:c r="C65" s="14" t="str">
        <x:v>DevOps</x:v>
      </x:c>
      <x:c r="D65" s="14" t="str">
        <x:v>构建</x:v>
      </x:c>
      <x:c r="E65" s="14" t="str">
        <x:v>P0</x:v>
      </x:c>
      <x:c r="F65" s="14" t="str">
        <x:v>DevOps</x:v>
      </x:c>
      <x:c r="G65" s="14" t="str">
        <x:v>Android构建配置</x:v>
      </x:c>
      <x:c r="H65" s="14" t="str">
        <x:v>配置applicationId、minSdk、签名占位、权限、网络安全配置。</x:v>
      </x:c>
      <x:c r="I65" s="14" t="str">
        <x:v>T-001,T-046</x:v>
      </x:c>
      <x:c r="J65" s="14" t="str">
        <x:v>Android build config</x:v>
      </x:c>
      <x:c r="K65" s="14" t="str">
        <x:v>debug/release APK可构建；通知权限配置正确。</x:v>
      </x:c>
      <x:c r="L65" s="14" t="str">
        <x:v>flutter build apk --debug</x:v>
      </x:c>
      <x:c r="M65" s="14" t="str">
        <x:v>M</x:v>
      </x:c>
      <x:c r="N65" s="14" t="str">
        <x:v>Not Started</x:v>
      </x:c>
      <x:c r="O65" s="14" t="str">
        <x:v>DevOps</x:v>
      </x:c>
      <x:c r="P65" s="14" t="str">
        <x:v>Configure Android build, permissions, and network security.</x:v>
      </x:c>
      <x:c r="Q65" s="14" t="str"/>
    </x:row>
    <x:row r="66" ht="60" customHeight="1">
      <x:c r="A66" s="14" t="str">
        <x:v>T-065</x:v>
      </x:c>
      <x:c r="B66" s="14" t="n">
        <x:v>65</x:v>
      </x:c>
      <x:c r="C66" s="14" t="str">
        <x:v>DevOps</x:v>
      </x:c>
      <x:c r="D66" s="14" t="str">
        <x:v>构建</x:v>
      </x:c>
      <x:c r="E66" s="14" t="str">
        <x:v>P1</x:v>
      </x:c>
      <x:c r="F66" s="14" t="str">
        <x:v>DevOps</x:v>
      </x:c>
      <x:c r="G66" s="14" t="str">
        <x:v>iOS构建配置</x:v>
      </x:c>
      <x:c r="H66" s="14" t="str">
        <x:v>配置Bundle ID、通知能力、Info.plist权限说明、最低版本。</x:v>
      </x:c>
      <x:c r="I66" s="14" t="str">
        <x:v>T-001,T-046</x:v>
      </x:c>
      <x:c r="J66" s="14" t="str">
        <x:v>iOS build config</x:v>
      </x:c>
      <x:c r="K66" s="14" t="str">
        <x:v>iOS模拟器可运行；权限文案完整。</x:v>
      </x:c>
      <x:c r="L66" s="14" t="str">
        <x:v>flutter build ios --debug --no-codesign</x:v>
      </x:c>
      <x:c r="M66" s="14" t="str">
        <x:v>M</x:v>
      </x:c>
      <x:c r="N66" s="14" t="str">
        <x:v>Not Started</x:v>
      </x:c>
      <x:c r="O66" s="14" t="str">
        <x:v>DevOps</x:v>
      </x:c>
      <x:c r="P66" s="14" t="str">
        <x:v>Configure iOS build settings and notification capability.</x:v>
      </x:c>
      <x:c r="Q66" s="14" t="str"/>
    </x:row>
    <x:row r="67" ht="60" customHeight="1">
      <x:c r="A67" s="14" t="str">
        <x:v>T-066</x:v>
      </x:c>
      <x:c r="B67" s="14" t="n">
        <x:v>66</x:v>
      </x:c>
      <x:c r="C67" s="14" t="str">
        <x:v>DevOps</x:v>
      </x:c>
      <x:c r="D67" s="14" t="str">
        <x:v>Feature Flags</x:v>
      </x:c>
      <x:c r="E67" s="14" t="str">
        <x:v>P1</x:v>
      </x:c>
      <x:c r="F67" s="14" t="str">
        <x:v>Architecture</x:v>
      </x:c>
      <x:c r="G67" s="14" t="str">
        <x:v>实现功能开关</x:v>
      </x:c>
      <x:c r="H67" s="14" t="str">
        <x:v>控制篮球/电竞、资讯、广告slot、远程配置预留。</x:v>
      </x:c>
      <x:c r="I67" s="14" t="str">
        <x:v>T-004</x:v>
      </x:c>
      <x:c r="J67" s="14" t="str">
        <x:v>FeatureFlag service</x:v>
      </x:c>
      <x:c r="K67" s="14" t="str">
        <x:v>关闭功能不显示入口；打开可见但不会影响P0。</x:v>
      </x:c>
      <x:c r="L67" s="14" t="str">
        <x:v>Unit tests</x:v>
      </x:c>
      <x:c r="M67" s="14" t="str">
        <x:v>S</x:v>
      </x:c>
      <x:c r="N67" s="14" t="str">
        <x:v>Not Started</x:v>
      </x:c>
      <x:c r="O67" s="14" t="str">
        <x:v>Codex</x:v>
      </x:c>
      <x:c r="P67" s="14" t="str">
        <x:v>Implement feature flags for optional modules.</x:v>
      </x:c>
      <x:c r="Q67" s="14" t="str"/>
    </x:row>
    <x:row r="68" ht="60" customHeight="1">
      <x:c r="A68" s="14" t="str">
        <x:v>T-067</x:v>
      </x:c>
      <x:c r="B68" s="14" t="n">
        <x:v>67</x:v>
      </x:c>
      <x:c r="C68" s="14" t="str">
        <x:v>DevOps</x:v>
      </x:c>
      <x:c r="D68" s="14" t="str">
        <x:v>文档</x:v>
      </x:c>
      <x:c r="E68" s="14" t="str">
        <x:v>P0</x:v>
      </x:c>
      <x:c r="F68" s="14" t="str">
        <x:v>Docs</x:v>
      </x:c>
      <x:c r="G68" s="14" t="str">
        <x:v>补充开发文档</x:v>
      </x:c>
      <x:c r="H68" s="14" t="str">
        <x:v>README包含架构、运行、环境、数据源、代码生成、测试、常见问题。</x:v>
      </x:c>
      <x:c r="I68" s="14" t="str">
        <x:v>所有Foundation</x:v>
      </x:c>
      <x:c r="J68" s="14" t="str">
        <x:v>README.md</x:v>
      </x:c>
      <x:c r="K68" s="14" t="str">
        <x:v>新人按README可跑通mock环境。</x:v>
      </x:c>
      <x:c r="L68" s="14" t="str">
        <x:v>Manual README run-through</x:v>
      </x:c>
      <x:c r="M68" s="14" t="str">
        <x:v>S</x:v>
      </x:c>
      <x:c r="N68" s="14" t="str">
        <x:v>Not Started</x:v>
      </x:c>
      <x:c r="O68" s="14" t="str">
        <x:v>Codex</x:v>
      </x:c>
      <x:c r="P68" s="14" t="str">
        <x:v>Write developer README for architecture, run commands, data mode, tests.</x:v>
      </x:c>
      <x:c r="Q68" s="14" t="str"/>
    </x:row>
    <x:row r="69" ht="60" customHeight="1">
      <x:c r="A69" s="14" t="str">
        <x:v>T-068</x:v>
      </x:c>
      <x:c r="B69" s="14" t="n">
        <x:v>68</x:v>
      </x:c>
      <x:c r="C69" s="14" t="str">
        <x:v>DevOps</x:v>
      </x:c>
      <x:c r="D69" s="14" t="str">
        <x:v>文档</x:v>
      </x:c>
      <x:c r="E69" s="14" t="str">
        <x:v>P0</x:v>
      </x:c>
      <x:c r="F69" s="14" t="str">
        <x:v>Docs</x:v>
      </x:c>
      <x:c r="G69" s="14" t="str">
        <x:v>维护接口契约文档</x:v>
      </x:c>
      <x:c r="H69" s="14" t="str">
        <x:v>列出REST endpoint、WS event、字段映射、状态枚举和示例payload。</x:v>
      </x:c>
      <x:c r="I69" s="14" t="str">
        <x:v>T-008,T-011,T-015</x:v>
      </x:c>
      <x:c r="J69" s="14" t="str">
        <x:v>api_contract.md</x:v>
      </x:c>
      <x:c r="K69" s="14" t="str">
        <x:v>前后端/数据源对齐；Mock与文档一致。</x:v>
      </x:c>
      <x:c r="L69" s="14" t="str">
        <x:v>Contract review</x:v>
      </x:c>
      <x:c r="M69" s="14" t="str">
        <x:v>M</x:v>
      </x:c>
      <x:c r="N69" s="14" t="str">
        <x:v>Not Started</x:v>
      </x:c>
      <x:c r="O69" s="14" t="str">
        <x:v>Backend</x:v>
      </x:c>
      <x:c r="P69" s="14" t="str">
        <x:v>Document REST and WebSocket contract with sample payloads.</x:v>
      </x:c>
      <x:c r="Q69" s="14" t="str"/>
    </x:row>
    <x:row r="70" ht="60" customHeight="1">
      <x:c r="A70" s="14" t="str">
        <x:v>T-069</x:v>
      </x:c>
      <x:c r="B70" s="14" t="n">
        <x:v>69</x:v>
      </x:c>
      <x:c r="C70" s="14" t="str">
        <x:v>Polish</x:v>
      </x:c>
      <x:c r="D70" s="14" t="str">
        <x:v>无障碍</x:v>
      </x:c>
      <x:c r="E70" s="14" t="str">
        <x:v>P1</x:v>
      </x:c>
      <x:c r="F70" s="14" t="str">
        <x:v>UI</x:v>
      </x:c>
      <x:c r="G70" s="14" t="str">
        <x:v>无障碍与字号适配</x:v>
      </x:c>
      <x:c r="H70" s="14" t="str">
        <x:v>关键按钮增加semantics label；支持系统字体缩放；比分对比度达标。</x:v>
      </x:c>
      <x:c r="I70" s="14" t="str">
        <x:v>T-021,T-027,T-043</x:v>
      </x:c>
      <x:c r="J70" s="14" t="str">
        <x:v>Accessibility pass</x:v>
      </x:c>
      <x:c r="K70" s="14" t="str">
        <x:v>主要页面可被读屏识别；大字号不明显溢出。</x:v>
      </x:c>
      <x:c r="L70" s="14" t="str">
        <x:v>Manual accessibility check</x:v>
      </x:c>
      <x:c r="M70" s="14" t="str">
        <x:v>M</x:v>
      </x:c>
      <x:c r="N70" s="14" t="str">
        <x:v>Not Started</x:v>
      </x:c>
      <x:c r="O70" s="14" t="str">
        <x:v>QA</x:v>
      </x:c>
      <x:c r="P70" s="14" t="str">
        <x:v>Add semantics labels and test large text scaling.</x:v>
      </x:c>
      <x:c r="Q70" s="14" t="str"/>
    </x:row>
    <x:row r="71" ht="60" customHeight="1">
      <x:c r="A71" s="14" t="str">
        <x:v>T-070</x:v>
      </x:c>
      <x:c r="B71" s="14" t="n">
        <x:v>70</x:v>
      </x:c>
      <x:c r="C71" s="14" t="str">
        <x:v>Polish</x:v>
      </x:c>
      <x:c r="D71" s="14" t="str">
        <x:v>交互</x:v>
      </x:c>
      <x:c r="E71" s="14" t="str">
        <x:v>P1</x:v>
      </x:c>
      <x:c r="F71" s="14" t="str">
        <x:v>UI</x:v>
      </x:c>
      <x:c r="G71" s="14" t="str">
        <x:v>微交互与动效</x:v>
      </x:c>
      <x:c r="H71" s="14" t="str">
        <x:v>Live脉冲、比分变化闪动、收藏动画；注意节制和性能。</x:v>
      </x:c>
      <x:c r="I71" s="14" t="str">
        <x:v>T-022,T-029,T-040</x:v>
      </x:c>
      <x:c r="J71" s="14" t="str">
        <x:v>Animations</x:v>
      </x:c>
      <x:c r="K71" s="14" t="str">
        <x:v>动效不影响可读性；可关闭或低频。</x:v>
      </x:c>
      <x:c r="L71" s="14" t="str">
        <x:v>Manual/profile test</x:v>
      </x:c>
      <x:c r="M71" s="14" t="str">
        <x:v>S</x:v>
      </x:c>
      <x:c r="N71" s="14" t="str">
        <x:v>Not Started</x:v>
      </x:c>
      <x:c r="O71" s="14" t="str">
        <x:v>Design</x:v>
      </x:c>
      <x:c r="P71" s="14" t="str">
        <x:v>Add lightweight animations for live badge, score update, favorite action.</x:v>
      </x:c>
      <x:c r="Q71" s="14" t="str"/>
    </x:row>
    <x:row r="72" ht="60" customHeight="1">
      <x:c r="A72" s="14" t="str">
        <x:v>T-071</x:v>
      </x:c>
      <x:c r="B72" s="14" t="n">
        <x:v>71</x:v>
      </x:c>
      <x:c r="C72" s="14" t="str">
        <x:v>Polish</x:v>
      </x:c>
      <x:c r="D72" s="14" t="str">
        <x:v>Deep Link</x:v>
      </x:c>
      <x:c r="E72" s="14" t="str">
        <x:v>P1</x:v>
      </x:c>
      <x:c r="F72" s="14" t="str">
        <x:v>Architecture</x:v>
      </x:c>
      <x:c r="G72" s="14" t="str">
        <x:v>比赛详情Deep Link</x:v>
      </x:c>
      <x:c r="H72" s="14" t="str">
        <x:v>支持分享链接打开到match detail，处理matchId不存在。</x:v>
      </x:c>
      <x:c r="I72" s="14" t="str">
        <x:v>T-006,T-035</x:v>
      </x:c>
      <x:c r="J72" s="14" t="str">
        <x:v>Deep link route</x:v>
      </x:c>
      <x:c r="K72" s="14" t="str">
        <x:v>有效链接进详情；无效链接展示错误页。</x:v>
      </x:c>
      <x:c r="L72" s="14" t="str">
        <x:v>Integration test</x:v>
      </x:c>
      <x:c r="M72" s="14" t="str">
        <x:v>M</x:v>
      </x:c>
      <x:c r="N72" s="14" t="str">
        <x:v>Not Started</x:v>
      </x:c>
      <x:c r="O72" s="14" t="str">
        <x:v>Flutter</x:v>
      </x:c>
      <x:c r="P72" s="14" t="str">
        <x:v>Implement deep link handling for match details.</x:v>
      </x:c>
      <x:c r="Q72" s="14" t="str"/>
    </x:row>
    <x:row r="73" ht="60" customHeight="1">
      <x:c r="A73" s="14" t="str">
        <x:v>T-072</x:v>
      </x:c>
      <x:c r="B73" s="14" t="n">
        <x:v>72</x:v>
      </x:c>
      <x:c r="C73" s="14" t="str">
        <x:v>Polish</x:v>
      </x:c>
      <x:c r="D73" s="14" t="str">
        <x:v>Debug工具</x:v>
      </x:c>
      <x:c r="E73" s="14" t="str">
        <x:v>P1</x:v>
      </x:c>
      <x:c r="F73" s="14" t="str">
        <x:v>DevOps</x:v>
      </x:c>
      <x:c r="G73" s="14" t="str">
        <x:v>开发Debug面板</x:v>
      </x:c>
      <x:c r="H73" s="14" t="str">
        <x:v>显示当前环境、WS状态、缓存、mock事件发送、feature flags。</x:v>
      </x:c>
      <x:c r="I73" s="14" t="str">
        <x:v>T-004,T-015,T-013,T-066</x:v>
      </x:c>
      <x:c r="J73" s="14" t="str">
        <x:v>DebugPanel</x:v>
      </x:c>
      <x:c r="K73" s="14" t="str">
        <x:v>dev环境可访问；prod默认关闭。</x:v>
      </x:c>
      <x:c r="L73" s="14" t="str">
        <x:v>Manual dev test</x:v>
      </x:c>
      <x:c r="M73" s="14" t="str">
        <x:v>M</x:v>
      </x:c>
      <x:c r="N73" s="14" t="str">
        <x:v>Not Started</x:v>
      </x:c>
      <x:c r="O73" s="14" t="str">
        <x:v>Codex</x:v>
      </x:c>
      <x:c r="P73" s="14" t="str">
        <x:v>Create dev-only debug panel for environment, websocket, cache, feature flags.</x:v>
      </x:c>
      <x:c r="Q73" s="14" t="str"/>
    </x:row>
    <x:row r="74" ht="60" customHeight="1">
      <x:c r="A74" s="14" t="str">
        <x:v>T-073</x:v>
      </x:c>
      <x:c r="B74" s="14" t="n">
        <x:v>73</x:v>
      </x:c>
      <x:c r="C74" s="14" t="str">
        <x:v>Future</x:v>
      </x:c>
      <x:c r="D74" s="14" t="str">
        <x:v>扩展</x:v>
      </x:c>
      <x:c r="E74" s="14" t="str">
        <x:v>P2</x:v>
      </x:c>
      <x:c r="F74" s="14" t="str">
        <x:v>Architecture</x:v>
      </x:c>
      <x:c r="G74" s="14" t="str">
        <x:v>SportType扩展适配</x:v>
      </x:c>
      <x:c r="H74" s="14" t="str">
        <x:v>为篮球/电竞预留score breakdown和event type差异，不阻塞足球MVP。</x:v>
      </x:c>
      <x:c r="I74" s="14" t="str">
        <x:v>T-008,T-066</x:v>
      </x:c>
      <x:c r="J74" s="14" t="str">
        <x:v>SportType adapter</x:v>
      </x:c>
      <x:c r="K74" s="14" t="str">
        <x:v>新增sportType不破坏足球UI。</x:v>
      </x:c>
      <x:c r="L74" s="14" t="str">
        <x:v>Unit tests for sport adapters</x:v>
      </x:c>
      <x:c r="M74" s="14" t="str">
        <x:v>M</x:v>
      </x:c>
      <x:c r="N74" s="14" t="str">
        <x:v>Deferred</x:v>
      </x:c>
      <x:c r="O74" s="14" t="str">
        <x:v>Product</x:v>
      </x:c>
      <x:c r="P74" s="14" t="str">
        <x:v>Refactor model to support future sports without hardcoding football globally.</x:v>
      </x:c>
      <x:c r="Q74" s="14" t="str"/>
    </x:row>
    <x:row r="75" ht="60" customHeight="1">
      <x:c r="A75" s="14" t="str">
        <x:v>T-074</x:v>
      </x:c>
      <x:c r="B75" s="14" t="n">
        <x:v>74</x:v>
      </x:c>
      <x:c r="C75" s="14" t="str">
        <x:v>Future</x:v>
      </x:c>
      <x:c r="D75" s="14" t="str">
        <x:v>商业化</x:v>
      </x:c>
      <x:c r="E75" s="14" t="str">
        <x:v>P2</x:v>
      </x:c>
      <x:c r="F75" s="14" t="str">
        <x:v>Product</x:v>
      </x:c>
      <x:c r="G75" s="14" t="str">
        <x:v>广告/会员Slot预留</x:v>
      </x:c>
      <x:c r="H75" s="14" t="str">
        <x:v>仅预留FeatureFlag和UI占位，不接真实广告SDK。</x:v>
      </x:c>
      <x:c r="I75" s="14" t="str">
        <x:v>T-066</x:v>
      </x:c>
      <x:c r="J75" s="14" t="str">
        <x:v>AdSlot placeholder</x:v>
      </x:c>
      <x:c r="K75" s="14" t="str">
        <x:v>默认关闭；不影响核心路径。</x:v>
      </x:c>
      <x:c r="L75" s="14" t="str">
        <x:v>Widget test hidden by default</x:v>
      </x:c>
      <x:c r="M75" s="14" t="str">
        <x:v>S</x:v>
      </x:c>
      <x:c r="N75" s="14" t="str">
        <x:v>Deferred</x:v>
      </x:c>
      <x:c r="O75" s="14" t="str">
        <x:v>Product</x:v>
      </x:c>
      <x:c r="P75" s="14" t="str">
        <x:v>Add optional ad slot placeholder behind feature flag.</x:v>
      </x:c>
      <x:c r="Q75" s="14" t="str"/>
    </x:row>
    <x:row r="76" ht="60" customHeight="1">
      <x:c r="A76" s="14" t="str">
        <x:v>T-075</x:v>
      </x:c>
      <x:c r="B76" s="14" t="n">
        <x:v>75</x:v>
      </x:c>
      <x:c r="C76" s="14" t="str">
        <x:v>QA/Release</x:v>
      </x:c>
      <x:c r="D76" s="14" t="str">
        <x:v>验收</x:v>
      </x:c>
      <x:c r="E76" s="14" t="str">
        <x:v>P0</x:v>
      </x:c>
      <x:c r="F76" s="14" t="str">
        <x:v>Testing</x:v>
      </x:c>
      <x:c r="G76" s="14" t="str">
        <x:v>P0功能验收清单</x:v>
      </x:c>
      <x:c r="H76" s="14" t="str">
        <x:v>逐项验证首页、详情、实时、关注、通知、设置、弱网、隐私。</x:v>
      </x:c>
      <x:c r="I76" s="14" t="str">
        <x:v>所有P0任务</x:v>
      </x:c>
      <x:c r="J76" s="14" t="str">
        <x:v>QA checklist</x:v>
      </x:c>
      <x:c r="K76" s="14" t="str">
        <x:v>P0全部Pass，无Critical阻塞。</x:v>
      </x:c>
      <x:c r="L76" s="14" t="str">
        <x:v>Manual QA pass</x:v>
      </x:c>
      <x:c r="M76" s="14" t="str">
        <x:v>M</x:v>
      </x:c>
      <x:c r="N76" s="14" t="str">
        <x:v>Not Started</x:v>
      </x:c>
      <x:c r="O76" s="14" t="str">
        <x:v>QA</x:v>
      </x:c>
      <x:c r="P76" s="14" t="str">
        <x:v>Create and execute P0 release checklist.</x:v>
      </x:c>
      <x:c r="Q76" s="14" t="str"/>
    </x:row>
    <x:row r="77" ht="60" customHeight="1">
      <x:c r="A77" s="14" t="str">
        <x:v>T-076</x:v>
      </x:c>
      <x:c r="B77" s="14" t="n">
        <x:v>76</x:v>
      </x:c>
      <x:c r="C77" s="14" t="str">
        <x:v>QA/Release</x:v>
      </x:c>
      <x:c r="D77" s="14" t="str">
        <x:v>验收</x:v>
      </x:c>
      <x:c r="E77" s="14" t="str">
        <x:v>P0</x:v>
      </x:c>
      <x:c r="F77" s="14" t="str">
        <x:v>Testing</x:v>
      </x:c>
      <x:c r="G77" s="14" t="str">
        <x:v>弱网与离线测试</x:v>
      </x:c>
      <x:c r="H77" s="14" t="str">
        <x:v>模拟断网、慢网、WS断开、接口失败、恢复网络。</x:v>
      </x:c>
      <x:c r="I77" s="14" t="str">
        <x:v>T-013,T-016,T-019,T-025</x:v>
      </x:c>
      <x:c r="J77" s="14" t="str">
        <x:v>Network QA report</x:v>
      </x:c>
      <x:c r="K77" s="14" t="str">
        <x:v>断网不白屏；恢复后补拉并重新订阅。</x:v>
      </x:c>
      <x:c r="L77" s="14" t="str">
        <x:v>Manual emulator network conditioning</x:v>
      </x:c>
      <x:c r="M77" s="14" t="str">
        <x:v>M</x:v>
      </x:c>
      <x:c r="N77" s="14" t="str">
        <x:v>Not Started</x:v>
      </x:c>
      <x:c r="O77" s="14" t="str">
        <x:v>QA</x:v>
      </x:c>
      <x:c r="P77" s="14" t="str">
        <x:v>Test offline/poor network flows and document results.</x:v>
      </x:c>
      <x:c r="Q77" s="14" t="str"/>
    </x:row>
    <x:row r="78" ht="60" customHeight="1">
      <x:c r="A78" s="14" t="str">
        <x:v>T-077</x:v>
      </x:c>
      <x:c r="B78" s="14" t="n">
        <x:v>77</x:v>
      </x:c>
      <x:c r="C78" s="14" t="str">
        <x:v>QA/Release</x:v>
      </x:c>
      <x:c r="D78" s="14" t="str">
        <x:v>验收</x:v>
      </x:c>
      <x:c r="E78" s="14" t="str">
        <x:v>P0</x:v>
      </x:c>
      <x:c r="F78" s="14" t="str">
        <x:v>Testing</x:v>
      </x:c>
      <x:c r="G78" s="14" t="str">
        <x:v>发布前性能基线</x:v>
      </x:c>
      <x:c r="H78" s="14" t="str">
        <x:v>记录启动时间、首页首屏、详情打开、列表滚动、实时事件延迟。</x:v>
      </x:c>
      <x:c r="I78" s="14" t="str">
        <x:v>T-060,T-061</x:v>
      </x:c>
      <x:c r="J78" s="14" t="str">
        <x:v>Performance baseline</x:v>
      </x:c>
      <x:c r="K78" s="14" t="str">
        <x:v>关键指标有记录，明显卡顿需修复。</x:v>
      </x:c>
      <x:c r="L78" s="14" t="str">
        <x:v>Profile mode measurements</x:v>
      </x:c>
      <x:c r="M78" s="14" t="str">
        <x:v>M</x:v>
      </x:c>
      <x:c r="N78" s="14" t="str">
        <x:v>Not Started</x:v>
      </x:c>
      <x:c r="O78" s="14" t="str">
        <x:v>QA</x:v>
      </x:c>
      <x:c r="P78" s="14" t="str">
        <x:v>Measure launch, first screen, detail open, scroll, realtime latency.</x:v>
      </x:c>
      <x:c r="Q78" s="14" t="str"/>
    </x:row>
    <x:row r="79" ht="60" customHeight="1">
      <x:c r="A79" s="14" t="str">
        <x:v>T-078</x:v>
      </x:c>
      <x:c r="B79" s="14" t="n">
        <x:v>78</x:v>
      </x:c>
      <x:c r="C79" s="14" t="str">
        <x:v>QA/Release</x:v>
      </x:c>
      <x:c r="D79" s="14" t="str">
        <x:v>验收</x:v>
      </x:c>
      <x:c r="E79" s="14" t="str">
        <x:v>P0</x:v>
      </x:c>
      <x:c r="F79" s="14" t="str">
        <x:v>DevOps</x:v>
      </x:c>
      <x:c r="G79" s="14" t="str">
        <x:v>生成首个可交付包</x:v>
      </x:c>
      <x:c r="H79" s="14" t="str">
        <x:v>使用mock/dev数据构建可演示APK/IPA或Web预览，附版本号和变更说明。</x:v>
      </x:c>
      <x:c r="I79" s="14" t="str">
        <x:v>P0验收通过</x:v>
      </x:c>
      <x:c r="J79" s="14" t="str">
        <x:v>Release artifact + changelog</x:v>
      </x:c>
      <x:c r="K79" s="14" t="str">
        <x:v>安装后核心路径可演示。</x:v>
      </x:c>
      <x:c r="L79" s="14" t="str">
        <x:v>Smoke test release build</x:v>
      </x:c>
      <x:c r="M79" s="14" t="str">
        <x:v>M</x:v>
      </x:c>
      <x:c r="N79" s="14" t="str">
        <x:v>Not Started</x:v>
      </x:c>
      <x:c r="O79" s="14" t="str">
        <x:v>DevOps</x:v>
      </x:c>
      <x:c r="P79" s="14" t="str">
        <x:v>Build first demo release package and write changelog.</x:v>
      </x:c>
      <x:c r="Q79" s="14" t="str"/>
    </x:row>
  </x:sheetData>
  <x:conditionalFormatting sqref="N2:N79">
    <x:cfRule type="expression" dxfId="4" priority="1">
      <x:formula>N2="Done"</x:formula>
    </x:cfRule>
    <x:cfRule type="expression" dxfId="5" priority="2">
      <x:formula>N2="In Progress"</x:formula>
    </x:cfRule>
    <x:cfRule type="expression" dxfId="6" priority="3">
      <x:formula>N2="Blocked"</x:formula>
    </x:cfRule>
    <x:cfRule type="expression" dxfId="7" priority="4">
      <x:formula>N2="Ready for Review"</x:formula>
    </x:cfRule>
  </x:conditionalFormatting>
  <x:conditionalFormatting sqref="E2:E79">
    <x:cfRule type="expression" dxfId="15" priority="5">
      <x:formula>E2="P0"</x:formula>
    </x:cfRule>
    <x:cfRule type="expression" dxfId="16" priority="6">
      <x:formula>E2="P1"</x:formula>
    </x:cfRule>
    <x:cfRule type="expression" dxfId="17" priority="7">
      <x:formula>E2="P2"</x:formula>
    </x:cfRule>
  </x:conditionalFormatting>
  <x:dataValidations count="4">
    <x:dataValidation type="list" sqref="E2:E79">
      <x:formula1>枚举!$B$2:$B$4</x:formula1>
    </x:dataValidation>
    <x:dataValidation type="list" sqref="M2:M79">
      <x:formula1>枚举!$D$2:$D$5</x:formula1>
    </x:dataValidation>
    <x:dataValidation type="list" sqref="N2:N79">
      <x:formula1>枚举!$A$2:$A$7</x:formula1>
    </x:dataValidation>
    <x:dataValidation type="list" sqref="O2:O79">
      <x:formula1>枚举!$C$2:$C$9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21eda271ab428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42" hidden="0" customWidth="1"/>
    <x:col min="5" max="5" width="40" hidden="0" customWidth="1"/>
    <x:col min="6" max="6" width="10" hidden="0" customWidth="1"/>
    <x:col min="7" max="7" width="26" hidden="0" customWidth="1"/>
  </x:cols>
  <x:sheetData>
    <x:row r="1" ht="30" customHeight="1">
      <x:c r="A1" s="6" t="str">
        <x:v>类别</x:v>
      </x:c>
      <x:c r="B1" s="6" t="str">
        <x:v>实体/接口/Event</x:v>
      </x:c>
      <x:c r="C1" s="6" t="str">
        <x:v>方向</x:v>
      </x:c>
      <x:c r="D1" s="6" t="str">
        <x:v>字段/Payload草案</x:v>
      </x:c>
      <x:c r="E1" s="6" t="str">
        <x:v>规则/说明</x:v>
      </x:c>
      <x:c r="F1" s="6" t="str">
        <x:v>优先级</x:v>
      </x:c>
      <x:c r="G1" s="6" t="str">
        <x:v>验收点</x:v>
      </x:c>
    </x:row>
    <x:row r="2" ht="42" customHeight="1">
      <x:c r="A2" s="14" t="str">
        <x:v>Entity</x:v>
      </x:c>
      <x:c r="B2" s="14" t="str">
        <x:v>SportType</x:v>
      </x:c>
      <x:c r="C2" s="14" t="str">
        <x:v>Model</x:v>
      </x:c>
      <x:c r="D2" s="14" t="str">
        <x:v>football, basketball, esports</x:v>
      </x:c>
      <x:c r="E2" s="14" t="str">
        <x:v>MVP默认football；其他项目用feature flag隐藏。</x:v>
      </x:c>
      <x:c r="F2" s="14" t="str">
        <x:v>P0</x:v>
      </x:c>
      <x:c r="G2" s="14" t="str">
        <x:v>不在全局硬编码足球。</x:v>
      </x:c>
    </x:row>
    <x:row r="3" ht="42" customHeight="1">
      <x:c r="A3" s="14" t="str">
        <x:v>Entity</x:v>
      </x:c>
      <x:c r="B3" s="14" t="str">
        <x:v>League</x:v>
      </x:c>
      <x:c r="C3" s="14" t="str">
        <x:v>Model</x:v>
      </x:c>
      <x:c r="D3" s="14" t="str">
        <x:v>id, sportType, name, country, logo, season</x:v>
      </x:c>
      <x:c r="E3" s="14" t="str">
        <x:v>联赛用于筛选、积分榜和比赛归属。</x:v>
      </x:c>
      <x:c r="F3" s="14" t="str">
        <x:v>P0</x:v>
      </x:c>
      <x:c r="G3" s="14" t="str">
        <x:v>列表和详情能显示联赛名。</x:v>
      </x:c>
    </x:row>
    <x:row r="4" ht="42" customHeight="1">
      <x:c r="A4" s="14" t="str">
        <x:v>Entity</x:v>
      </x:c>
      <x:c r="B4" s="14" t="str">
        <x:v>Team</x:v>
      </x:c>
      <x:c r="C4" s="14" t="str">
        <x:v>Model</x:v>
      </x:c>
      <x:c r="D4" s="14" t="str">
        <x:v>id, name, shortName, logo, country, colors</x:v>
      </x:c>
      <x:c r="E4" s="14" t="str">
        <x:v>队名过长时使用shortName或省略。</x:v>
      </x:c>
      <x:c r="F4" s="14" t="str">
        <x:v>P0</x:v>
      </x:c>
      <x:c r="G4" s="14" t="str">
        <x:v>卡片和详情布局不溢出。</x:v>
      </x:c>
    </x:row>
    <x:row r="5" ht="42" customHeight="1">
      <x:c r="A5" s="14" t="str">
        <x:v>Entity</x:v>
      </x:c>
      <x:c r="B5" s="14" t="str">
        <x:v>Match</x:v>
      </x:c>
      <x:c r="C5" s="14" t="str">
        <x:v>Model</x:v>
      </x:c>
      <x:c r="D5" s="14" t="str">
        <x:v>id, leagueId, homeTeam, awayTeam, status, kickoffAt, elapsed, score, venue</x:v>
      </x:c>
      <x:c r="E5" s="14" t="str">
        <x:v>Match是首页和详情核心实体。</x:v>
      </x:c>
      <x:c r="F5" s="14" t="str">
        <x:v>P0</x:v>
      </x:c>
      <x:c r="G5" s="14" t="str">
        <x:v>scheduled/live/finished状态正确。</x:v>
      </x:c>
    </x:row>
    <x:row r="6" ht="42" customHeight="1">
      <x:c r="A6" s="14" t="str">
        <x:v>Entity</x:v>
      </x:c>
      <x:c r="B6" s="14" t="str">
        <x:v>Score</x:v>
      </x:c>
      <x:c r="C6" s="14" t="str">
        <x:v>Model</x:v>
      </x:c>
      <x:c r="D6" s="14" t="str">
        <x:v>home, away, halfTimeHome, halfTimeAway, penalties</x:v>
      </x:c>
      <x:c r="E6" s="14" t="str">
        <x:v>不同运动可扩展periodScores。</x:v>
      </x:c>
      <x:c r="F6" s="14" t="str">
        <x:v>P0</x:v>
      </x:c>
      <x:c r="G6" s="14" t="str">
        <x:v>比分为空时显示-而非0。</x:v>
      </x:c>
    </x:row>
    <x:row r="7" ht="42" customHeight="1">
      <x:c r="A7" s="14" t="str">
        <x:v>Entity</x:v>
      </x:c>
      <x:c r="B7" s="14" t="str">
        <x:v>MatchEvent</x:v>
      </x:c>
      <x:c r="C7" s="14" t="str">
        <x:v>Model</x:v>
      </x:c>
      <x:c r="D7" s="14" t="str">
        <x:v>eventId, matchId, type, minute, extraMinute, teamId, playerId, playerName, assistName, scoreAfter, sequence</x:v>
      </x:c>
      <x:c r="E7" s="14" t="str">
        <x:v>eventId/sequence用于去重和乱序处理。</x:v>
      </x:c>
      <x:c r="F7" s="14" t="str">
        <x:v>P0</x:v>
      </x:c>
      <x:c r="G7" s="14" t="str">
        <x:v>重复事件不重复展示。</x:v>
      </x:c>
    </x:row>
    <x:row r="8" ht="42" customHeight="1">
      <x:c r="A8" s="14" t="str">
        <x:v>Entity</x:v>
      </x:c>
      <x:c r="B8" s="14" t="str">
        <x:v>Statistics</x:v>
      </x:c>
      <x:c r="C8" s="14" t="str">
        <x:v>Model</x:v>
      </x:c>
      <x:c r="D8" s="14" t="str">
        <x:v>matchId, possession, shots, shotsOnTarget, corners, fouls, offsides, yellowCards, redCards</x:v>
      </x:c>
      <x:c r="E8" s="14" t="str">
        <x:v>字段可能缺失，UI需安全占位。</x:v>
      </x:c>
      <x:c r="F8" s="14" t="str">
        <x:v>P0</x:v>
      </x:c>
      <x:c r="G8" s="14" t="str">
        <x:v>缺失字段不崩溃。</x:v>
      </x:c>
    </x:row>
    <x:row r="9" ht="42" customHeight="1">
      <x:c r="A9" s="14" t="str">
        <x:v>Entity</x:v>
      </x:c>
      <x:c r="B9" s="14" t="str">
        <x:v>StandingRow</x:v>
      </x:c>
      <x:c r="C9" s="14" t="str">
        <x:v>Model</x:v>
      </x:c>
      <x:c r="D9" s="14" t="str">
        <x:v>rank, team, played, won, draw, lost, goalsFor, goalsAgainst, goalDiff, points, form</x:v>
      </x:c>
      <x:c r="E9" s="14" t="str">
        <x:v>表格按rank/points排序。</x:v>
      </x:c>
      <x:c r="F9" s="14" t="str">
        <x:v>P1</x:v>
      </x:c>
      <x:c r="G9" s="14" t="str">
        <x:v>积分榜可排序展示。</x:v>
      </x:c>
    </x:row>
    <x:row r="10" ht="42" customHeight="1">
      <x:c r="A10" s="14" t="str">
        <x:v>Entity</x:v>
      </x:c>
      <x:c r="B10" s="14" t="str">
        <x:v>Favorite</x:v>
      </x:c>
      <x:c r="C10" s="14" t="str">
        <x:v>Local</x:v>
      </x:c>
      <x:c r="D10" s="14" t="str">
        <x:v>type(match/team/league), id, createdAt, notificationEnabled</x:v>
      </x:c>
      <x:c r="E10" s="14" t="str">
        <x:v>本地优先，后续可同步。</x:v>
      </x:c>
      <x:c r="F10" s="14" t="str">
        <x:v>P0</x:v>
      </x:c>
      <x:c r="G10" s="14" t="str">
        <x:v>重启后关注仍存在。</x:v>
      </x:c>
    </x:row>
    <x:row r="11" ht="42" customHeight="1">
      <x:c r="A11" s="14" t="str">
        <x:v>REST</x:v>
      </x:c>
      <x:c r="B11" s="14" t="str">
        <x:v>GET /fixtures</x:v>
      </x:c>
      <x:c r="C11" s="14" t="str">
        <x:v>Client -&gt; API</x:v>
      </x:c>
      <x:c r="D11" s="14" t="str">
        <x:v>date, sportType, status?, leagueId?</x:v>
      </x:c>
      <x:c r="E11" s="14" t="str">
        <x:v>首页列表；支持mock/dev/prod provider。</x:v>
      </x:c>
      <x:c r="F11" s="14" t="str">
        <x:v>P0</x:v>
      </x:c>
      <x:c r="G11" s="14" t="str">
        <x:v>可按日期和状态取数据。</x:v>
      </x:c>
    </x:row>
    <x:row r="12" ht="42" customHeight="1">
      <x:c r="A12" s="14" t="str">
        <x:v>REST</x:v>
      </x:c>
      <x:c r="B12" s="14" t="str">
        <x:v>GET /matches/{id}</x:v>
      </x:c>
      <x:c r="C12" s="14" t="str">
        <x:v>Client -&gt; API</x:v>
      </x:c>
      <x:c r="D12" s="14" t="str">
        <x:v>matchId</x:v>
      </x:c>
      <x:c r="E12" s="14" t="str">
        <x:v>详情快照，包含基础信息和当前比分。</x:v>
      </x:c>
      <x:c r="F12" s="14" t="str">
        <x:v>P0</x:v>
      </x:c>
      <x:c r="G12" s="14" t="str">
        <x:v>详情刷新后数据完整。</x:v>
      </x:c>
    </x:row>
    <x:row r="13" ht="42" customHeight="1">
      <x:c r="A13" s="14" t="str">
        <x:v>REST</x:v>
      </x:c>
      <x:c r="B13" s="14" t="str">
        <x:v>GET /matches/{id}/events</x:v>
      </x:c>
      <x:c r="C13" s="14" t="str">
        <x:v>Client -&gt; API</x:v>
      </x:c>
      <x:c r="D13" s="14" t="str">
        <x:v>matchId</x:v>
      </x:c>
      <x:c r="E13" s="14" t="str">
        <x:v>用于首屏和WS断线后补拉。</x:v>
      </x:c>
      <x:c r="F13" s="14" t="str">
        <x:v>P0</x:v>
      </x:c>
      <x:c r="G13" s="14" t="str">
        <x:v>事件顺序正确。</x:v>
      </x:c>
    </x:row>
    <x:row r="14" ht="42" customHeight="1">
      <x:c r="A14" s="14" t="str">
        <x:v>REST</x:v>
      </x:c>
      <x:c r="B14" s="14" t="str">
        <x:v>GET /matches/{id}/statistics</x:v>
      </x:c>
      <x:c r="C14" s="14" t="str">
        <x:v>Client -&gt; API</x:v>
      </x:c>
      <x:c r="D14" s="14" t="str">
        <x:v>matchId</x:v>
      </x:c>
      <x:c r="E14" s="14" t="str">
        <x:v>统计Tab数据；缺失时返回空数组。</x:v>
      </x:c>
      <x:c r="F14" s="14" t="str">
        <x:v>P0</x:v>
      </x:c>
      <x:c r="G14" s="14" t="str">
        <x:v>StatsTab不白屏。</x:v>
      </x:c>
    </x:row>
    <x:row r="15" ht="42" customHeight="1">
      <x:c r="A15" s="14" t="str">
        <x:v>REST</x:v>
      </x:c>
      <x:c r="B15" s="14" t="str">
        <x:v>GET /standings</x:v>
      </x:c>
      <x:c r="C15" s="14" t="str">
        <x:v>Client -&gt; API</x:v>
      </x:c>
      <x:c r="D15" s="14" t="str">
        <x:v>leagueId, season</x:v>
      </x:c>
      <x:c r="E15" s="14" t="str">
        <x:v>积分榜页面。</x:v>
      </x:c>
      <x:c r="F15" s="14" t="str">
        <x:v>P1</x:v>
      </x:c>
      <x:c r="G15" s="14" t="str">
        <x:v>排名、积分展示正确。</x:v>
      </x:c>
    </x:row>
    <x:row r="16" ht="42" customHeight="1">
      <x:c r="A16" s="14" t="str">
        <x:v>REST</x:v>
      </x:c>
      <x:c r="B16" s="14" t="str">
        <x:v>GET /search</x:v>
      </x:c>
      <x:c r="C16" s="14" t="str">
        <x:v>Client -&gt; API</x:v>
      </x:c>
      <x:c r="D16" s="14" t="str">
        <x:v>q, sportType?</x:v>
      </x:c>
      <x:c r="E16" s="14" t="str">
        <x:v>搜索球队/联赛/比赛。</x:v>
      </x:c>
      <x:c r="F16" s="14" t="str">
        <x:v>P1</x:v>
      </x:c>
      <x:c r="G16" s="14" t="str">
        <x:v>300ms防抖；空结果提示。</x:v>
      </x:c>
    </x:row>
    <x:row r="17" ht="42" customHeight="1">
      <x:c r="A17" s="14" t="str">
        <x:v>WS</x:v>
      </x:c>
      <x:c r="B17" s="14" t="str">
        <x:v>connect</x:v>
      </x:c>
      <x:c r="C17" s="14" t="str">
        <x:v>API -&gt; Client</x:v>
      </x:c>
      <x:c r="D17" s="14" t="str">
        <x:v>clientId, token?, subscriptions</x:v>
      </x:c>
      <x:c r="E17" s="14" t="str">
        <x:v>建立连接后发送订阅。</x:v>
      </x:c>
      <x:c r="F17" s="14" t="str">
        <x:v>P0</x:v>
      </x:c>
      <x:c r="G17" s="14" t="str">
        <x:v>连接状态可观测。</x:v>
      </x:c>
    </x:row>
    <x:row r="18" ht="42" customHeight="1">
      <x:c r="A18" s="14" t="str">
        <x:v>WS</x:v>
      </x:c>
      <x:c r="B18" s="14" t="str">
        <x:v>match.updated</x:v>
      </x:c>
      <x:c r="C18" s="14" t="str">
        <x:v>API -&gt; Client</x:v>
      </x:c>
      <x:c r="D18" s="14" t="str">
        <x:v>matchId, status, elapsed, score, serverTime, sequence</x:v>
      </x:c>
      <x:c r="E18" s="14" t="str">
        <x:v>更新卡片和详情头部。</x:v>
      </x:c>
      <x:c r="F18" s="14" t="str">
        <x:v>P0</x:v>
      </x:c>
      <x:c r="G18" s="14" t="str">
        <x:v>列表详情同步。</x:v>
      </x:c>
    </x:row>
    <x:row r="19" ht="42" customHeight="1">
      <x:c r="A19" s="14" t="str">
        <x:v>WS</x:v>
      </x:c>
      <x:c r="B19" s="14" t="str">
        <x:v>match.event.created</x:v>
      </x:c>
      <x:c r="C19" s="14" t="str">
        <x:v>API -&gt; Client</x:v>
      </x:c>
      <x:c r="D19" s="14" t="str">
        <x:v>eventId, matchId, type, minute, teamId, player, scoreAfter, sequence</x:v>
      </x:c>
      <x:c r="E19" s="14" t="str">
        <x:v>新增进球/牌/换人等事件。</x:v>
      </x:c>
      <x:c r="F19" s="14" t="str">
        <x:v>P0</x:v>
      </x:c>
      <x:c r="G19" s="14" t="str">
        <x:v>事件去重并插入时间线。</x:v>
      </x:c>
    </x:row>
    <x:row r="20" ht="42" customHeight="1">
      <x:c r="A20" s="14" t="str">
        <x:v>WS</x:v>
      </x:c>
      <x:c r="B20" s="14" t="str">
        <x:v>match.event.corrected</x:v>
      </x:c>
      <x:c r="C20" s="14" t="str">
        <x:v>API -&gt; Client</x:v>
      </x:c>
      <x:c r="D20" s="14" t="str">
        <x:v>eventId, patch, reason, sequence</x:v>
      </x:c>
      <x:c r="E20" s="14" t="str">
        <x:v>支持VAR/撤销/供应商修正。</x:v>
      </x:c>
      <x:c r="F20" s="14" t="str">
        <x:v>P0</x:v>
      </x:c>
      <x:c r="G20" s="14" t="str">
        <x:v>原事件被更新而非重复。</x:v>
      </x:c>
    </x:row>
    <x:row r="21" ht="42" customHeight="1">
      <x:c r="A21" s="14" t="str">
        <x:v>WS</x:v>
      </x:c>
      <x:c r="B21" s="14" t="str">
        <x:v>subscription.ack</x:v>
      </x:c>
      <x:c r="C21" s="14" t="str">
        <x:v>API -&gt; Client</x:v>
      </x:c>
      <x:c r="D21" s="14" t="str">
        <x:v>topic, status, serverTime</x:v>
      </x:c>
      <x:c r="E21" s="14" t="str">
        <x:v>确认订阅成功或失败。</x:v>
      </x:c>
      <x:c r="F21" s="14" t="str">
        <x:v>P0</x:v>
      </x:c>
      <x:c r="G21" s="14" t="str">
        <x:v>失败时提示并重试。</x:v>
      </x:c>
    </x:row>
    <x:row r="22" ht="42" customHeight="1">
      <x:c r="A22" s="14" t="str">
        <x:v>Local</x:v>
      </x:c>
      <x:c r="B22" s="14" t="str">
        <x:v>settings</x:v>
      </x:c>
      <x:c r="C22" s="14" t="str">
        <x:v>Client local</x:v>
      </x:c>
      <x:c r="D22" s="14" t="str">
        <x:v>themeMode, languageCode, notificationTypes, quietHours</x:v>
      </x:c>
      <x:c r="E22" s="14" t="str">
        <x:v>设置持久化。</x:v>
      </x:c>
      <x:c r="F22" s="14" t="str">
        <x:v>P1</x:v>
      </x:c>
      <x:c r="G22" s="14" t="str">
        <x:v>重启后不丢。</x:v>
      </x:c>
    </x:row>
    <x:row r="23" ht="42" customHeight="1">
      <x:c r="A23" s="14" t="str">
        <x:v>Analytics</x:v>
      </x:c>
      <x:c r="B23" s="14" t="str">
        <x:v>events</x:v>
      </x:c>
      <x:c r="C23" s="14" t="str">
        <x:v>Client -&gt; Analytics</x:v>
      </x:c>
      <x:c r="D23" s="14" t="str">
        <x:v>app_open, home_loaded, match_detail_open, favorite_add, ws_reconnect, notification_received</x:v>
      </x:c>
      <x:c r="E23" s="14" t="str">
        <x:v>先抽象接口，具体SDK可后接。</x:v>
      </x:c>
      <x:c r="F23" s="14" t="str">
        <x:v>P1</x:v>
      </x:c>
      <x:c r="G23" s="14" t="str">
        <x:v>关键路径可追踪。</x:v>
      </x:c>
    </x:row>
  </x:sheetData>
  <x:pageMargins left="0.7" right="0.7" top="0.75" bottom="0.75" header="0.3" footer="0.3"/>
  <x:tableParts count="1">
    <x:tablePart xmlns:r="http://schemas.openxmlformats.org/officeDocument/2006/relationships" r:id="Ref26667399d0404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2" hidden="0" customWidth="1"/>
    <x:col min="4" max="4" width="12" hidden="0" customWidth="1"/>
    <x:col min="5" max="5" width="40" hidden="0" customWidth="1"/>
    <x:col min="6" max="6" width="40" hidden="0" customWidth="1"/>
    <x:col min="7" max="7" width="14" hidden="0" customWidth="1"/>
    <x:col min="8" max="8" width="14" hidden="0" customWidth="1"/>
  </x:cols>
  <x:sheetData>
    <x:row r="1" ht="30" customHeight="1">
      <x:c r="A1" s="6" t="str">
        <x:v>Risk ID</x:v>
      </x:c>
      <x:c r="B1" s="6" t="str">
        <x:v>风险/验收项</x:v>
      </x:c>
      <x:c r="C1" s="6" t="str">
        <x:v>类型</x:v>
      </x:c>
      <x:c r="D1" s="6" t="str">
        <x:v>级别</x:v>
      </x:c>
      <x:c r="E1" s="6" t="str">
        <x:v>影响</x:v>
      </x:c>
      <x:c r="F1" s="6" t="str">
        <x:v>缓解方案</x:v>
      </x:c>
      <x:c r="G1" s="6" t="str">
        <x:v>Owner</x:v>
      </x:c>
      <x:c r="H1" s="6" t="str">
        <x:v>状态</x:v>
      </x:c>
    </x:row>
    <x:row r="2" ht="48" customHeight="1">
      <x:c r="A2" s="14" t="str">
        <x:v>R-001</x:v>
      </x:c>
      <x:c r="B2" s="14" t="str">
        <x:v>第三方赛事数据延迟或限流</x:v>
      </x:c>
      <x:c r="C2" s="14" t="str">
        <x:v>风险</x:v>
      </x:c>
      <x:c r="D2" s="14" t="str">
        <x:v>High</x:v>
      </x:c>
      <x:c r="E2" s="14" t="str">
        <x:v>实时比分不稳定，影响核心体验。</x:v>
      </x:c>
      <x:c r="F2" s="14" t="str">
        <x:v>MVP先支持Mock/Remote切换；增加缓存和stale提示；后端代理做限流保护。</x:v>
      </x:c>
      <x:c r="G2" s="14" t="str">
        <x:v>Backend</x:v>
      </x:c>
      <x:c r="H2" s="14" t="str">
        <x:v>Not Started</x:v>
      </x:c>
    </x:row>
    <x:row r="3" ht="48" customHeight="1">
      <x:c r="A3" s="14" t="str">
        <x:v>R-002</x:v>
      </x:c>
      <x:c r="B3" s="14" t="str">
        <x:v>WebSocket重复/乱序事件</x:v>
      </x:c>
      <x:c r="C3" s="14" t="str">
        <x:v>风险</x:v>
      </x:c>
      <x:c r="D3" s="14" t="str">
        <x:v>High</x:v>
      </x:c>
      <x:c r="E3" s="14" t="str">
        <x:v>比分重复跳变或时间线错乱。</x:v>
      </x:c>
      <x:c r="F3" s="14" t="str">
        <x:v>eventId+sequence去重；Reducer单元测试覆盖撤销/修正。</x:v>
      </x:c>
      <x:c r="G3" s="14" t="str">
        <x:v>Backend</x:v>
      </x:c>
      <x:c r="H3" s="14" t="str">
        <x:v>Not Started</x:v>
      </x:c>
    </x:row>
    <x:row r="4" ht="48" customHeight="1">
      <x:c r="A4" s="14" t="str">
        <x:v>R-003</x:v>
      </x:c>
      <x:c r="B4" s="14" t="str">
        <x:v>通知权限获取率低</x:v>
      </x:c>
      <x:c r="C4" s="14" t="str">
        <x:v>风险</x:v>
      </x:c>
      <x:c r="D4" s="14" t="str">
        <x:v>Medium</x:v>
      </x:c>
      <x:c r="E4" s="14" t="str">
        <x:v>关注提醒价值下降。</x:v>
      </x:c>
      <x:c r="F4" s="14" t="str">
        <x:v>先解释用途再申请权限；提供设置页二次开启入口。</x:v>
      </x:c>
      <x:c r="G4" s="14" t="str">
        <x:v>Design</x:v>
      </x:c>
      <x:c r="H4" s="14" t="str">
        <x:v>Not Started</x:v>
      </x:c>
    </x:row>
    <x:row r="5" ht="48" customHeight="1">
      <x:c r="A5" s="14" t="str">
        <x:v>R-004</x:v>
      </x:c>
      <x:c r="B5" s="14" t="str">
        <x:v>弱网下白屏或数据过期不明确</x:v>
      </x:c>
      <x:c r="C5" s="14" t="str">
        <x:v>风险</x:v>
      </x:c>
      <x:c r="D5" s="14" t="str">
        <x:v>High</x:v>
      </x:c>
      <x:c r="E5" s="14" t="str">
        <x:v>用户不信任数据。</x:v>
      </x:c>
      <x:c r="F5" s="14" t="str">
        <x:v>缓存快照、stale badge、连接状态banner、重试按钮。</x:v>
      </x:c>
      <x:c r="G5" s="14" t="str">
        <x:v>Flutter</x:v>
      </x:c>
      <x:c r="H5" s="14" t="str">
        <x:v>Not Started</x:v>
      </x:c>
    </x:row>
    <x:row r="6" ht="48" customHeight="1">
      <x:c r="A6" s="14" t="str">
        <x:v>R-005</x:v>
      </x:c>
      <x:c r="B6" s="14" t="str">
        <x:v>球队Logo/长队名导致布局溢出</x:v>
      </x:c>
      <x:c r="C6" s="14" t="str">
        <x:v>风险</x:v>
      </x:c>
      <x:c r="D6" s="14" t="str">
        <x:v>Medium</x:v>
      </x:c>
      <x:c r="E6" s="14" t="str">
        <x:v>视觉体验差。</x:v>
      </x:c>
      <x:c r="F6" s="14" t="str">
        <x:v>短名兜底、图片占位、golden测试覆盖。</x:v>
      </x:c>
      <x:c r="G6" s="14" t="str">
        <x:v>Design</x:v>
      </x:c>
      <x:c r="H6" s="14" t="str">
        <x:v>Not Started</x:v>
      </x:c>
    </x:row>
    <x:row r="7" ht="48" customHeight="1">
      <x:c r="A7" s="14" t="str">
        <x:v>R-006</x:v>
      </x:c>
      <x:c r="B7" s="14" t="str">
        <x:v>生产密钥暴露</x:v>
      </x:c>
      <x:c r="C7" s="14" t="str">
        <x:v>风险</x:v>
      </x:c>
      <x:c r="D7" s="14" t="str">
        <x:v>Critical</x:v>
      </x:c>
      <x:c r="E7" s="14" t="str">
        <x:v>安全与费用风险。</x:v>
      </x:c>
      <x:c r="F7" s="14" t="str">
        <x:v>使用dart-define或后端代理；CI检查密钥；日志脱敏。</x:v>
      </x:c>
      <x:c r="G7" s="14" t="str">
        <x:v>Security</x:v>
      </x:c>
      <x:c r="H7" s="14" t="str">
        <x:v>Not Started</x:v>
      </x:c>
    </x:row>
    <x:row r="8" ht="48" customHeight="1">
      <x:c r="A8" s="14" t="str">
        <x:v>R-007</x:v>
      </x:c>
      <x:c r="B8" s="14" t="str">
        <x:v>P0：首页可展示比赛列表</x:v>
      </x:c>
      <x:c r="C8" s="14" t="str">
        <x:v>上线验收</x:v>
      </x:c>
      <x:c r="D8" s="14" t="str">
        <x:v>Critical</x:v>
      </x:c>
      <x:c r="E8" s="14" t="str">
        <x:v>核心入口不可用则不能上线。</x:v>
      </x:c>
      <x:c r="F8" s="14" t="str">
        <x:v>首页Mock/Remote数据都能加载；支持日期和状态切换。</x:v>
      </x:c>
      <x:c r="G8" s="14" t="str">
        <x:v>QA</x:v>
      </x:c>
      <x:c r="H8" s="14" t="str">
        <x:v>Not Started</x:v>
      </x:c>
    </x:row>
    <x:row r="9" ht="48" customHeight="1">
      <x:c r="A9" s="14" t="str">
        <x:v>R-008</x:v>
      </x:c>
      <x:c r="B9" s="14" t="str">
        <x:v>P0：详情页比分、事件、统计可用</x:v>
      </x:c>
      <x:c r="C9" s="14" t="str">
        <x:v>上线验收</x:v>
      </x:c>
      <x:c r="D9" s="14" t="str">
        <x:v>Critical</x:v>
      </x:c>
      <x:c r="E9" s="14" t="str">
        <x:v>详情体验不完整。</x:v>
      </x:c>
      <x:c r="F9" s="14" t="str">
        <x:v>详情Provider、Timeline、StatsTab通过widget/provider测试。</x:v>
      </x:c>
      <x:c r="G9" s="14" t="str">
        <x:v>QA</x:v>
      </x:c>
      <x:c r="H9" s="14" t="str">
        <x:v>Not Started</x:v>
      </x:c>
    </x:row>
    <x:row r="10" ht="48" customHeight="1">
      <x:c r="A10" s="14" t="str">
        <x:v>R-009</x:v>
      </x:c>
      <x:c r="B10" s="14" t="str">
        <x:v>P0：实时更新稳定</x:v>
      </x:c>
      <x:c r="C10" s="14" t="str">
        <x:v>上线验收</x:v>
      </x:c>
      <x:c r="D10" s="14" t="str">
        <x:v>Critical</x:v>
      </x:c>
      <x:c r="E10" s="14" t="str">
        <x:v>实时App核心价值。</x:v>
      </x:c>
      <x:c r="F10" s="14" t="str">
        <x:v>WS连接、重连、去重、弱网恢复测试通过。</x:v>
      </x:c>
      <x:c r="G10" s="14" t="str">
        <x:v>QA</x:v>
      </x:c>
      <x:c r="H10" s="14" t="str">
        <x:v>Not Started</x:v>
      </x:c>
    </x:row>
    <x:row r="11" ht="48" customHeight="1">
      <x:c r="A11" s="14" t="str">
        <x:v>R-010</x:v>
      </x:c>
      <x:c r="B11" s="14" t="str">
        <x:v>P0：关注和通知流程可用</x:v>
      </x:c>
      <x:c r="C11" s="14" t="str">
        <x:v>上线验收</x:v>
      </x:c>
      <x:c r="D11" s="14" t="str">
        <x:v>High</x:v>
      </x:c>
      <x:c r="E11" s="14" t="str">
        <x:v>个性化和提醒能力。</x:v>
      </x:c>
      <x:c r="F11" s="14" t="str">
        <x:v>关注持久化、权限引导、测试通知或本地触发可用。</x:v>
      </x:c>
      <x:c r="G11" s="14" t="str">
        <x:v>QA</x:v>
      </x:c>
      <x:c r="H11" s="14" t="str">
        <x:v>Not Started</x:v>
      </x:c>
    </x:row>
    <x:row r="12" ht="48" customHeight="1">
      <x:c r="A12" s="14" t="str">
        <x:v>R-011</x:v>
      </x:c>
      <x:c r="B12" s="14" t="str">
        <x:v>P0：深浅色、错误态、空状态完整</x:v>
      </x:c>
      <x:c r="C12" s="14" t="str">
        <x:v>上线验收</x:v>
      </x:c>
      <x:c r="D12" s="14" t="str">
        <x:v>High</x:v>
      </x:c>
      <x:c r="E12" s="14" t="str">
        <x:v>基础体验和稳定性。</x:v>
      </x:c>
      <x:c r="F12" s="14" t="str">
        <x:v>核心页面无白屏；深浅色可读；错误可重试。</x:v>
      </x:c>
      <x:c r="G12" s="14" t="str">
        <x:v>QA</x:v>
      </x:c>
      <x:c r="H12" s="14" t="str">
        <x:v>Not Started</x:v>
      </x:c>
    </x:row>
    <x:row r="13" ht="48" customHeight="1">
      <x:c r="A13" s="14" t="str">
        <x:v>R-012</x:v>
      </x:c>
      <x:c r="B13" s="14" t="str">
        <x:v>P0：隐私/权限说明可访问</x:v>
      </x:c>
      <x:c r="C13" s="14" t="str">
        <x:v>上线验收</x:v>
      </x:c>
      <x:c r="D13" s="14" t="str">
        <x:v>High</x:v>
      </x:c>
      <x:c r="E13" s="14" t="str">
        <x:v>合规与上架风险。</x:v>
      </x:c>
      <x:c r="F13" s="14" t="str">
        <x:v>设置页隐私入口、通知用途说明、SDK列表。</x:v>
      </x:c>
      <x:c r="G13" s="14" t="str">
        <x:v>Security</x:v>
      </x:c>
      <x:c r="H13" s="14" t="str">
        <x:v>Not Started</x:v>
      </x:c>
    </x:row>
    <x:row r="14" ht="48" customHeight="1">
      <x:c r="A14" s="14" t="str">
        <x:v>R-013</x:v>
      </x:c>
      <x:c r="B14" s="14" t="str">
        <x:v>P0：CI通过且无明显崩溃</x:v>
      </x:c>
      <x:c r="C14" s="14" t="str">
        <x:v>上线验收</x:v>
      </x:c>
      <x:c r="D14" s="14" t="str">
        <x:v>Critical</x:v>
      </x:c>
      <x:c r="E14" s="14" t="str">
        <x:v>发布质量底线。</x:v>
      </x:c>
      <x:c r="F14" s="14" t="str">
        <x:v>format/analyze/test/build通过；崩溃监控接入或全局错误捕获。</x:v>
      </x:c>
      <x:c r="G14" s="14" t="str">
        <x:v>DevOps</x:v>
      </x:c>
      <x:c r="H14" s="14" t="str">
        <x:v>Not Started</x:v>
      </x:c>
    </x:row>
  </x:sheetData>
  <x:conditionalFormatting sqref="H2:H14">
    <x:cfRule type="expression" dxfId="8" priority="1">
      <x:formula>H2="Done"</x:formula>
    </x:cfRule>
    <x:cfRule type="expression" dxfId="9" priority="2">
      <x:formula>H2="In Progress"</x:formula>
    </x:cfRule>
    <x:cfRule type="expression" dxfId="10" priority="3">
      <x:formula>H2="Blocked"</x:formula>
    </x:cfRule>
    <x:cfRule type="expression" dxfId="11" priority="4">
      <x:formula>H2="Ready for Review"</x:formula>
    </x:cfRule>
  </x:conditionalFormatting>
  <x:conditionalFormatting sqref="D2:D14">
    <x:cfRule type="expression" dxfId="18" priority="5">
      <x:formula>D2="Critical"</x:formula>
    </x:cfRule>
    <x:cfRule type="expression" dxfId="19" priority="6">
      <x:formula>D2="High"</x:formula>
    </x:cfRule>
    <x:cfRule type="expression" dxfId="20" priority="7">
      <x:formula>D2="Medium"</x:formula>
    </x:cfRule>
  </x:conditionalFormatting>
  <x:dataValidations count="2">
    <x:dataValidation type="list" sqref="D2:D14">
      <x:formula1>枚举!$F$2:$F$5</x:formula1>
    </x:dataValidation>
    <x:dataValidation type="list" sqref="H2:H14">
      <x:formula1>枚举!$A$2:$A$7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25538f1a9c4c5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6" t="str">
        <x:v>Status</x:v>
      </x:c>
      <x:c r="B1" s="6" t="str">
        <x:v>Priority</x:v>
      </x:c>
      <x:c r="C1" s="6" t="str">
        <x:v>Owner</x:v>
      </x:c>
      <x:c r="D1" s="6" t="str">
        <x:v>Complexity</x:v>
      </x:c>
      <x:c r="E1" s="6" t="str">
        <x:v>MVP Scope</x:v>
      </x:c>
      <x:c r="F1" s="6" t="str">
        <x:v>Risk Level</x:v>
      </x:c>
      <x:c r="G1" s="6" t="str">
        <x:v>Task Type</x:v>
      </x:c>
    </x:row>
    <x:row r="2">
      <x:c r="A2" s="14" t="str">
        <x:v>Not Started</x:v>
      </x:c>
      <x:c r="B2" s="14" t="str">
        <x:v>P0</x:v>
      </x:c>
      <x:c r="C2" s="14" t="str">
        <x:v>Product</x:v>
      </x:c>
      <x:c r="D2" s="14" t="str">
        <x:v>S</x:v>
      </x:c>
      <x:c r="E2" s="14" t="str">
        <x:v>MVP</x:v>
      </x:c>
      <x:c r="F2" s="14" t="str">
        <x:v>Low</x:v>
      </x:c>
      <x:c r="G2" s="14" t="str">
        <x:v>Design</x:v>
      </x:c>
    </x:row>
    <x:row r="3">
      <x:c r="A3" s="14" t="str">
        <x:v>In Progress</x:v>
      </x:c>
      <x:c r="B3" s="14" t="str">
        <x:v>P1</x:v>
      </x:c>
      <x:c r="C3" s="14" t="str">
        <x:v>Flutter</x:v>
      </x:c>
      <x:c r="D3" s="14" t="str">
        <x:v>M</x:v>
      </x:c>
      <x:c r="E3" s="14" t="str">
        <x:v>Post-MVP</x:v>
      </x:c>
      <x:c r="F3" s="14" t="str">
        <x:v>Medium</x:v>
      </x:c>
      <x:c r="G3" s="14" t="str">
        <x:v>Architecture</x:v>
      </x:c>
    </x:row>
    <x:row r="4">
      <x:c r="A4" s="14" t="str">
        <x:v>Ready for Review</x:v>
      </x:c>
      <x:c r="B4" s="14" t="str">
        <x:v>P2</x:v>
      </x:c>
      <x:c r="C4" s="14" t="str">
        <x:v>Backend</x:v>
      </x:c>
      <x:c r="D4" s="14" t="str">
        <x:v>L</x:v>
      </x:c>
      <x:c r="E4" s="14" t="str">
        <x:v>Optional</x:v>
      </x:c>
      <x:c r="F4" s="14" t="str">
        <x:v>High</x:v>
      </x:c>
      <x:c r="G4" s="14" t="str">
        <x:v>Data/API</x:v>
      </x:c>
    </x:row>
    <x:row r="5">
      <x:c r="A5" s="14" t="str">
        <x:v>Blocked</x:v>
      </x:c>
      <x:c r="B5" s="14" t="str"/>
      <x:c r="C5" s="14" t="str">
        <x:v>QA</x:v>
      </x:c>
      <x:c r="D5" s="14" t="str">
        <x:v>XL</x:v>
      </x:c>
      <x:c r="E5" s="14" t="str"/>
      <x:c r="F5" s="14" t="str">
        <x:v>Critical</x:v>
      </x:c>
      <x:c r="G5" s="14" t="str">
        <x:v>Realtime</x:v>
      </x:c>
    </x:row>
    <x:row r="6">
      <x:c r="A6" s="14" t="str">
        <x:v>Done</x:v>
      </x:c>
      <x:c r="B6" s="14" t="str"/>
      <x:c r="C6" s="14" t="str">
        <x:v>Design</x:v>
      </x:c>
      <x:c r="D6" s="14" t="str"/>
      <x:c r="E6" s="14" t="str"/>
      <x:c r="F6" s="14" t="str"/>
      <x:c r="G6" s="14" t="str">
        <x:v>UI</x:v>
      </x:c>
    </x:row>
    <x:row r="7">
      <x:c r="A7" s="14" t="str">
        <x:v>Deferred</x:v>
      </x:c>
      <x:c r="B7" s="14" t="str"/>
      <x:c r="C7" s="14" t="str">
        <x:v>Codex</x:v>
      </x:c>
      <x:c r="D7" s="14" t="str"/>
      <x:c r="E7" s="14" t="str"/>
      <x:c r="F7" s="14" t="str"/>
      <x:c r="G7" s="14" t="str">
        <x:v>State</x:v>
      </x:c>
    </x:row>
    <x:row r="8">
      <x:c r="A8" s="14" t="str"/>
      <x:c r="B8" s="14" t="str"/>
      <x:c r="C8" s="14" t="str">
        <x:v>DevOps</x:v>
      </x:c>
      <x:c r="D8" s="14" t="str"/>
      <x:c r="E8" s="14" t="str"/>
      <x:c r="F8" s="14" t="str"/>
      <x:c r="G8" s="14" t="str">
        <x:v>Testing</x:v>
      </x:c>
    </x:row>
    <x:row r="9">
      <x:c r="A9" s="14" t="str"/>
      <x:c r="B9" s="14" t="str"/>
      <x:c r="C9" s="14" t="str">
        <x:v>Analytics</x:v>
      </x:c>
      <x:c r="D9" s="14" t="str"/>
      <x:c r="E9" s="14" t="str"/>
      <x:c r="F9" s="14" t="str"/>
      <x:c r="G9" s="14" t="str">
        <x:v>DevOps</x:v>
      </x:c>
    </x:row>
    <x:row r="10">
      <x:c r="A10" s="14" t="str"/>
      <x:c r="B10" s="14" t="str"/>
      <x:c r="C10" s="14" t="str">
        <x:v>Security</x:v>
      </x:c>
      <x:c r="D10" s="14" t="str"/>
      <x:c r="E10" s="14" t="str"/>
      <x:c r="F10" s="14" t="str"/>
      <x:c r="G10" s="14" t="str">
        <x:v>Docs</x:v>
      </x:c>
    </x:row>
    <x:row r="11">
      <x:c r="A11" s="14"/>
      <x:c r="B11" s="14"/>
      <x:c r="C11" s="14"/>
      <x:c r="D11" s="14"/>
      <x:c r="E11" s="14"/>
      <x:c r="F11" s="14"/>
      <x:c r="G11" s="14"/>
    </x:row>
    <x:row r="12">
      <x:c r="A12" s="14"/>
      <x:c r="B12" s="14"/>
      <x:c r="C12" s="14"/>
      <x:c r="D12" s="14"/>
      <x:c r="E12" s="14"/>
      <x:c r="F12" s="14"/>
      <x:c r="G12" s="14"/>
    </x:row>
    <x:row r="13">
      <x:c r="A13" s="14"/>
      <x:c r="B13" s="14"/>
      <x:c r="C13" s="14"/>
      <x:c r="D13" s="14"/>
      <x:c r="E13" s="14"/>
      <x:c r="F13" s="14"/>
      <x:c r="G13" s="14"/>
    </x:row>
    <x:row r="14">
      <x:c r="A14" s="14"/>
      <x:c r="B14" s="14"/>
      <x:c r="C14" s="14"/>
      <x:c r="D14" s="14"/>
      <x:c r="E14" s="14"/>
      <x:c r="F14" s="14"/>
      <x:c r="G14" s="14"/>
    </x:row>
    <x:row r="15">
      <x:c r="A15" s="14"/>
      <x:c r="B15" s="14"/>
      <x:c r="C15" s="14"/>
      <x:c r="D15" s="14"/>
      <x:c r="E15" s="14"/>
      <x:c r="F15" s="14"/>
      <x:c r="G15" s="14"/>
    </x:row>
    <x:row r="16">
      <x:c r="A16" s="14"/>
      <x:c r="B16" s="14"/>
      <x:c r="C16" s="14"/>
      <x:c r="D16" s="14"/>
      <x:c r="E16" s="14"/>
      <x:c r="F16" s="14"/>
      <x:c r="G16" s="14"/>
    </x:row>
    <x:row r="17">
      <x:c r="A17" s="14"/>
      <x:c r="B17" s="14"/>
      <x:c r="C17" s="14"/>
      <x:c r="D17" s="14"/>
      <x:c r="E17" s="14"/>
      <x:c r="F17" s="14"/>
      <x:c r="G17" s="14"/>
    </x:row>
    <x:row r="18">
      <x:c r="A18" s="14"/>
      <x:c r="B18" s="14"/>
      <x:c r="C18" s="14"/>
      <x:c r="D18" s="14"/>
      <x:c r="E18" s="14"/>
      <x:c r="F18" s="14"/>
      <x:c r="G18" s="14"/>
    </x:row>
    <x:row r="19">
      <x:c r="A19" s="14"/>
      <x:c r="B19" s="14"/>
      <x:c r="C19" s="14"/>
      <x:c r="D19" s="14"/>
      <x:c r="E19" s="14"/>
      <x:c r="F19" s="14"/>
      <x:c r="G19" s="14"/>
    </x:row>
    <x:row r="20">
      <x:c r="A20" s="14"/>
      <x:c r="B20" s="14"/>
      <x:c r="C20" s="14"/>
      <x:c r="D20" s="14"/>
      <x:c r="E20" s="14"/>
      <x:c r="F20" s="14"/>
      <x:c r="G20" s="14"/>
    </x:row>
  </x:sheetData>
  <x:pageMargins left="0.7" right="0.7" top="0.75" bottom="0.75" header="0.3" footer="0.3"/>
  <x:tableParts count="1">
    <x:tablePart xmlns:r="http://schemas.openxmlformats.org/officeDocument/2006/relationships" r:id="R139a473976a54177"/>
  </x:tableParts>
</x:worksheet>
</file>